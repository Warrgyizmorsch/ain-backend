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arrgyizmorsch\UKS60305\"/>
    </mc:Choice>
  </mc:AlternateContent>
  <xr:revisionPtr revIDLastSave="0" documentId="13_ncr:1_{455C624C-70DA-4754-8DFC-1168B978D6EF}" xr6:coauthVersionLast="47" xr6:coauthVersionMax="47" xr10:uidLastSave="{00000000-0000-0000-0000-000000000000}"/>
  <bookViews>
    <workbookView xWindow="-110" yWindow="-110" windowWidth="19420" windowHeight="11500" firstSheet="4" activeTab="8" xr2:uid="{9A8E8F3A-64F9-4A80-9F32-099536E592FB}"/>
  </bookViews>
  <sheets>
    <sheet name="Assumptions" sheetId="10" r:id="rId1"/>
    <sheet name="Startup Costs &amp; Use of Funds" sheetId="2" r:id="rId2"/>
    <sheet name="CashFlow_36m" sheetId="3" r:id="rId3"/>
    <sheet name="Funding Mix" sheetId="4" r:id="rId4"/>
    <sheet name="P&amp;L_3yr" sheetId="5" r:id="rId5"/>
    <sheet name="Break-Even" sheetId="6" r:id="rId6"/>
    <sheet name="KPIs_ByYear" sheetId="7" r:id="rId7"/>
    <sheet name="Dashboard" sheetId="8" r:id="rId8"/>
    <sheet name="Scenario Analysis" sheetId="9" r:id="rId9"/>
  </sheets>
  <externalReferences>
    <externalReference r:id="rId10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4" i="9" l="1"/>
  <c r="A13" i="9"/>
  <c r="A12" i="9"/>
  <c r="G7" i="9"/>
  <c r="G6" i="9"/>
  <c r="D8" i="4"/>
  <c r="C8" i="4"/>
  <c r="A8" i="4"/>
  <c r="D7" i="4"/>
  <c r="A7" i="4"/>
  <c r="D6" i="4"/>
  <c r="A6" i="4"/>
  <c r="D5" i="4"/>
  <c r="A5" i="4"/>
  <c r="D4" i="4"/>
  <c r="C7" i="4"/>
  <c r="A4" i="4"/>
  <c r="I19" i="6"/>
  <c r="I10" i="6"/>
  <c r="I52" i="6"/>
  <c r="G4" i="6"/>
  <c r="E5" i="6"/>
  <c r="B15" i="2"/>
  <c r="H6" i="9" l="1"/>
  <c r="H7" i="9"/>
  <c r="G5" i="9"/>
  <c r="H5" i="9" s="1"/>
  <c r="C6" i="4"/>
  <c r="C4" i="4"/>
  <c r="C5" i="4"/>
  <c r="B15" i="6"/>
  <c r="I43" i="6"/>
  <c r="G5" i="6"/>
  <c r="I14" i="6"/>
  <c r="I27" i="6"/>
  <c r="I15" i="6"/>
  <c r="I34" i="6"/>
  <c r="B45" i="3"/>
  <c r="D45" i="3"/>
  <c r="I16" i="6"/>
  <c r="I35" i="6"/>
  <c r="I18" i="6"/>
  <c r="I42" i="6"/>
  <c r="F4" i="6"/>
  <c r="H4" i="6" s="1"/>
  <c r="I11" i="6"/>
  <c r="I23" i="6"/>
  <c r="I50" i="6"/>
  <c r="I12" i="6"/>
  <c r="I24" i="6"/>
  <c r="I51" i="6"/>
  <c r="C45" i="3"/>
  <c r="I4" i="6"/>
  <c r="J4" i="6" s="1"/>
  <c r="I13" i="6"/>
  <c r="I26" i="6"/>
  <c r="I17" i="6"/>
  <c r="I25" i="6"/>
  <c r="I33" i="6"/>
  <c r="I41" i="6"/>
  <c r="I49" i="6"/>
  <c r="E6" i="6"/>
  <c r="I32" i="6"/>
  <c r="I40" i="6"/>
  <c r="I48" i="6"/>
  <c r="F5" i="6"/>
  <c r="I31" i="6"/>
  <c r="I39" i="6"/>
  <c r="I47" i="6"/>
  <c r="I22" i="6"/>
  <c r="I30" i="6"/>
  <c r="I38" i="6"/>
  <c r="I46" i="6"/>
  <c r="I54" i="6"/>
  <c r="I21" i="6"/>
  <c r="I29" i="6"/>
  <c r="I37" i="6"/>
  <c r="I45" i="6"/>
  <c r="I53" i="6"/>
  <c r="I5" i="6"/>
  <c r="I6" i="6"/>
  <c r="I7" i="6"/>
  <c r="I8" i="6"/>
  <c r="I9" i="6"/>
  <c r="I20" i="6"/>
  <c r="I28" i="6"/>
  <c r="I36" i="6"/>
  <c r="I44" i="6"/>
  <c r="C43" i="3"/>
  <c r="E43" i="3"/>
  <c r="G43" i="3"/>
  <c r="J5" i="9" l="1"/>
  <c r="J7" i="9"/>
  <c r="J6" i="9"/>
  <c r="J5" i="6"/>
  <c r="B12" i="4"/>
  <c r="D11" i="4"/>
  <c r="K4" i="6"/>
  <c r="K5" i="6"/>
  <c r="H5" i="6"/>
  <c r="G6" i="6"/>
  <c r="J6" i="6" s="1"/>
  <c r="F6" i="6"/>
  <c r="E7" i="6"/>
  <c r="G7" i="6" l="1"/>
  <c r="J7" i="6" s="1"/>
  <c r="F7" i="6"/>
  <c r="E8" i="6"/>
  <c r="H6" i="6"/>
  <c r="K6" i="6"/>
  <c r="G8" i="6" l="1"/>
  <c r="J8" i="6" s="1"/>
  <c r="F8" i="6"/>
  <c r="E9" i="6"/>
  <c r="H7" i="6"/>
  <c r="K7" i="6"/>
  <c r="G9" i="6" l="1"/>
  <c r="J9" i="6" s="1"/>
  <c r="F9" i="6"/>
  <c r="E10" i="6"/>
  <c r="H8" i="6"/>
  <c r="K8" i="6"/>
  <c r="G10" i="6" l="1"/>
  <c r="J10" i="6" s="1"/>
  <c r="F10" i="6"/>
  <c r="E11" i="6"/>
  <c r="H9" i="6"/>
  <c r="K9" i="6"/>
  <c r="G11" i="6" l="1"/>
  <c r="J11" i="6" s="1"/>
  <c r="F11" i="6"/>
  <c r="E12" i="6"/>
  <c r="H10" i="6"/>
  <c r="K10" i="6"/>
  <c r="G12" i="6" l="1"/>
  <c r="J12" i="6" s="1"/>
  <c r="F12" i="6"/>
  <c r="E13" i="6"/>
  <c r="H11" i="6"/>
  <c r="K11" i="6"/>
  <c r="G13" i="6" l="1"/>
  <c r="J13" i="6" s="1"/>
  <c r="F13" i="6"/>
  <c r="E14" i="6"/>
  <c r="H12" i="6"/>
  <c r="K12" i="6"/>
  <c r="G14" i="6" l="1"/>
  <c r="J14" i="6" s="1"/>
  <c r="F14" i="6"/>
  <c r="E15" i="6"/>
  <c r="K13" i="6"/>
  <c r="H13" i="6"/>
  <c r="K14" i="6" l="1"/>
  <c r="H14" i="6"/>
  <c r="E16" i="6"/>
  <c r="G15" i="6"/>
  <c r="J15" i="6" s="1"/>
  <c r="F15" i="6"/>
  <c r="K15" i="6" l="1"/>
  <c r="H15" i="6"/>
  <c r="E17" i="6"/>
  <c r="G16" i="6"/>
  <c r="J16" i="6" s="1"/>
  <c r="F16" i="6"/>
  <c r="K16" i="6" l="1"/>
  <c r="H16" i="6"/>
  <c r="F17" i="6"/>
  <c r="E18" i="6"/>
  <c r="G17" i="6"/>
  <c r="J17" i="6" s="1"/>
  <c r="G18" i="6" l="1"/>
  <c r="J18" i="6" s="1"/>
  <c r="F18" i="6"/>
  <c r="E19" i="6"/>
  <c r="K17" i="6"/>
  <c r="H17" i="6"/>
  <c r="G19" i="6" l="1"/>
  <c r="J19" i="6" s="1"/>
  <c r="F19" i="6"/>
  <c r="E20" i="6"/>
  <c r="K18" i="6"/>
  <c r="H18" i="6"/>
  <c r="G20" i="6" l="1"/>
  <c r="J20" i="6" s="1"/>
  <c r="F20" i="6"/>
  <c r="E21" i="6"/>
  <c r="H19" i="6"/>
  <c r="K19" i="6"/>
  <c r="G21" i="6" l="1"/>
  <c r="J21" i="6" s="1"/>
  <c r="F21" i="6"/>
  <c r="E22" i="6"/>
  <c r="H20" i="6"/>
  <c r="K20" i="6"/>
  <c r="H21" i="6" l="1"/>
  <c r="K21" i="6"/>
  <c r="G22" i="6"/>
  <c r="J22" i="6" s="1"/>
  <c r="F22" i="6"/>
  <c r="E23" i="6"/>
  <c r="E24" i="6" l="1"/>
  <c r="G23" i="6"/>
  <c r="J23" i="6" s="1"/>
  <c r="F23" i="6"/>
  <c r="K22" i="6"/>
  <c r="H22" i="6"/>
  <c r="K23" i="6" l="1"/>
  <c r="H23" i="6"/>
  <c r="E25" i="6"/>
  <c r="G24" i="6"/>
  <c r="J24" i="6" s="1"/>
  <c r="F24" i="6"/>
  <c r="K24" i="6" l="1"/>
  <c r="H24" i="6"/>
  <c r="F25" i="6"/>
  <c r="E26" i="6"/>
  <c r="G25" i="6"/>
  <c r="J25" i="6" s="1"/>
  <c r="G26" i="6" l="1"/>
  <c r="J26" i="6" s="1"/>
  <c r="F26" i="6"/>
  <c r="E27" i="6"/>
  <c r="H25" i="6"/>
  <c r="K25" i="6"/>
  <c r="G27" i="6" l="1"/>
  <c r="J27" i="6" s="1"/>
  <c r="F27" i="6"/>
  <c r="E28" i="6"/>
  <c r="K26" i="6"/>
  <c r="H26" i="6"/>
  <c r="G28" i="6" l="1"/>
  <c r="J28" i="6" s="1"/>
  <c r="F28" i="6"/>
  <c r="E29" i="6"/>
  <c r="H27" i="6"/>
  <c r="K27" i="6"/>
  <c r="G29" i="6" l="1"/>
  <c r="J29" i="6" s="1"/>
  <c r="F29" i="6"/>
  <c r="E30" i="6"/>
  <c r="H28" i="6"/>
  <c r="K28" i="6"/>
  <c r="H29" i="6" l="1"/>
  <c r="K29" i="6"/>
  <c r="G30" i="6"/>
  <c r="J30" i="6" s="1"/>
  <c r="F30" i="6"/>
  <c r="E31" i="6"/>
  <c r="E32" i="6" l="1"/>
  <c r="F31" i="6"/>
  <c r="G31" i="6"/>
  <c r="J31" i="6" s="1"/>
  <c r="K30" i="6"/>
  <c r="H30" i="6"/>
  <c r="K31" i="6" l="1"/>
  <c r="H31" i="6"/>
  <c r="E33" i="6"/>
  <c r="G32" i="6"/>
  <c r="J32" i="6" s="1"/>
  <c r="F32" i="6"/>
  <c r="K32" i="6" l="1"/>
  <c r="H32" i="6"/>
  <c r="F33" i="6"/>
  <c r="E34" i="6"/>
  <c r="G33" i="6"/>
  <c r="J33" i="6" s="1"/>
  <c r="G34" i="6" l="1"/>
  <c r="J34" i="6" s="1"/>
  <c r="F34" i="6"/>
  <c r="E35" i="6"/>
  <c r="K33" i="6"/>
  <c r="H33" i="6"/>
  <c r="G35" i="6" l="1"/>
  <c r="J35" i="6" s="1"/>
  <c r="F35" i="6"/>
  <c r="E36" i="6"/>
  <c r="K34" i="6"/>
  <c r="H34" i="6"/>
  <c r="G36" i="6" l="1"/>
  <c r="J36" i="6" s="1"/>
  <c r="F36" i="6"/>
  <c r="E37" i="6"/>
  <c r="H35" i="6"/>
  <c r="K35" i="6"/>
  <c r="G37" i="6" l="1"/>
  <c r="J37" i="6" s="1"/>
  <c r="F37" i="6"/>
  <c r="E38" i="6"/>
  <c r="H36" i="6"/>
  <c r="K36" i="6"/>
  <c r="K37" i="6" l="1"/>
  <c r="H37" i="6"/>
  <c r="G38" i="6"/>
  <c r="J38" i="6" s="1"/>
  <c r="F38" i="6"/>
  <c r="E39" i="6"/>
  <c r="E40" i="6" l="1"/>
  <c r="G39" i="6"/>
  <c r="J39" i="6" s="1"/>
  <c r="F39" i="6"/>
  <c r="K38" i="6"/>
  <c r="H38" i="6"/>
  <c r="K39" i="6" l="1"/>
  <c r="H39" i="6"/>
  <c r="E41" i="6"/>
  <c r="G40" i="6"/>
  <c r="J40" i="6" s="1"/>
  <c r="F40" i="6"/>
  <c r="K40" i="6" l="1"/>
  <c r="H40" i="6"/>
  <c r="F41" i="6"/>
  <c r="G41" i="6"/>
  <c r="J41" i="6" s="1"/>
  <c r="E42" i="6"/>
  <c r="G42" i="6" l="1"/>
  <c r="J42" i="6" s="1"/>
  <c r="F42" i="6"/>
  <c r="E43" i="6"/>
  <c r="K41" i="6"/>
  <c r="H41" i="6"/>
  <c r="G43" i="6" l="1"/>
  <c r="J43" i="6" s="1"/>
  <c r="F43" i="6"/>
  <c r="E44" i="6"/>
  <c r="K42" i="6"/>
  <c r="H42" i="6"/>
  <c r="G44" i="6" l="1"/>
  <c r="J44" i="6" s="1"/>
  <c r="F44" i="6"/>
  <c r="E45" i="6"/>
  <c r="H43" i="6"/>
  <c r="K43" i="6"/>
  <c r="G45" i="6" l="1"/>
  <c r="J45" i="6" s="1"/>
  <c r="F45" i="6"/>
  <c r="E46" i="6"/>
  <c r="H44" i="6"/>
  <c r="K44" i="6"/>
  <c r="H45" i="6" l="1"/>
  <c r="K45" i="6"/>
  <c r="G46" i="6"/>
  <c r="J46" i="6" s="1"/>
  <c r="F46" i="6"/>
  <c r="E47" i="6"/>
  <c r="K46" i="6" l="1"/>
  <c r="H46" i="6"/>
  <c r="E48" i="6"/>
  <c r="G47" i="6"/>
  <c r="J47" i="6" s="1"/>
  <c r="F47" i="6"/>
  <c r="K47" i="6" l="1"/>
  <c r="H47" i="6"/>
  <c r="E49" i="6"/>
  <c r="G48" i="6"/>
  <c r="J48" i="6" s="1"/>
  <c r="F48" i="6"/>
  <c r="K48" i="6" l="1"/>
  <c r="H48" i="6"/>
  <c r="F49" i="6"/>
  <c r="E50" i="6"/>
  <c r="G49" i="6"/>
  <c r="J49" i="6" s="1"/>
  <c r="G50" i="6" l="1"/>
  <c r="J50" i="6" s="1"/>
  <c r="F50" i="6"/>
  <c r="E51" i="6"/>
  <c r="K49" i="6"/>
  <c r="H49" i="6"/>
  <c r="G51" i="6" l="1"/>
  <c r="J51" i="6" s="1"/>
  <c r="F51" i="6"/>
  <c r="E52" i="6"/>
  <c r="H50" i="6"/>
  <c r="K50" i="6"/>
  <c r="G52" i="6" l="1"/>
  <c r="J52" i="6" s="1"/>
  <c r="F52" i="6"/>
  <c r="E53" i="6"/>
  <c r="H51" i="6"/>
  <c r="K51" i="6"/>
  <c r="G53" i="6" l="1"/>
  <c r="J53" i="6" s="1"/>
  <c r="F53" i="6"/>
  <c r="E54" i="6"/>
  <c r="H52" i="6"/>
  <c r="K52" i="6"/>
  <c r="G54" i="6" l="1"/>
  <c r="J54" i="6" s="1"/>
  <c r="F54" i="6"/>
  <c r="H53" i="6"/>
  <c r="K53" i="6"/>
  <c r="K54" i="6" l="1"/>
  <c r="H5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1" authorId="0" shapeId="0" xr:uid="{84128331-E946-45B1-B055-A60EA4FE5E71}">
      <text>
        <r>
          <rPr>
            <sz val="10"/>
            <rFont val="Arial"/>
            <family val="2"/>
          </rPr>
          <t>Base-case planning assumption: average order value is £50.</t>
        </r>
      </text>
    </comment>
    <comment ref="B12" authorId="0" shapeId="0" xr:uid="{FDAA7F99-8295-4F36-B39C-ECFDA7DEAFC6}">
      <text>
        <r>
          <rPr>
            <sz val="10"/>
            <rFont val="Arial"/>
            <family val="2"/>
          </rPr>
          <t>Base-case planning assumption: 250 orders per month in Year 1.</t>
        </r>
      </text>
    </comment>
    <comment ref="B13" authorId="0" shapeId="0" xr:uid="{F610A3D2-E4C1-4669-9043-FD71B169F22A}">
      <text>
        <r>
          <rPr>
            <sz val="10"/>
            <rFont val="Arial"/>
            <family val="2"/>
          </rPr>
          <t>25% annual revenue growth is used so the model reconciles with the report's 25% customer-growth assumption under stable pricing/order economics.</t>
        </r>
      </text>
    </comment>
    <comment ref="B14" authorId="0" shapeId="0" xr:uid="{1AF50D3B-F708-4C75-ABE0-25775CBD538D}">
      <text>
        <r>
          <rPr>
            <sz val="10"/>
            <rFont val="Arial"/>
            <family val="2"/>
          </rPr>
          <t>25% annual revenue growth, maintaining the same base-case growth logic.</t>
        </r>
      </text>
    </comment>
    <comment ref="B18" authorId="0" shapeId="0" xr:uid="{253B8773-1E1E-4A25-8130-03BB00E57969}">
      <text>
        <r>
          <rPr>
            <sz val="10"/>
            <rFont val="Arial"/>
            <family val="2"/>
          </rPr>
          <t>Base-case COGS assumption: 45% of revenue; implies 55% gross margin.</t>
        </r>
      </text>
    </comment>
    <comment ref="B28" authorId="0" shapeId="0" xr:uid="{FAF5B159-9903-4FB0-ADE1-E29EF6CEA87D}">
      <text>
        <r>
          <rPr>
            <sz val="10"/>
            <rFont val="Arial"/>
            <family val="2"/>
          </rPr>
          <t>Operating expenses grow by 5% annually.</t>
        </r>
      </text>
    </comment>
    <comment ref="B29" authorId="0" shapeId="0" xr:uid="{B0B5C660-9253-487D-816F-7B523D6D28E8}">
      <text>
        <r>
          <rPr>
            <sz val="10"/>
            <rFont val="Arial"/>
            <family val="2"/>
          </rPr>
          <t>Operating expenses grow by 5% annually.</t>
        </r>
      </text>
    </comment>
    <comment ref="B45" authorId="0" shapeId="0" xr:uid="{D4EAF8C4-C8F0-4A1B-80CB-6557879256FD}">
      <text>
        <r>
          <rPr>
            <sz val="10"/>
            <rFont val="Arial"/>
            <family val="2"/>
          </rPr>
          <t>75% customer retention assumption for the illustrative LTV calculation.</t>
        </r>
      </text>
    </comment>
    <comment ref="B46" authorId="0" shapeId="0" xr:uid="{C857D7E3-B822-4653-8573-146A3B524AFB}">
      <text>
        <r>
          <rPr>
            <sz val="10"/>
            <rFont val="Arial"/>
            <family val="2"/>
          </rPr>
          <t>£50 average order × 12 months = £600 annual customer spend.</t>
        </r>
      </text>
    </comment>
    <comment ref="B47" authorId="0" shapeId="0" xr:uid="{97C6EF13-1D68-4844-9DBD-707FBD50ECB7}">
      <text>
        <r>
          <rPr>
            <sz val="10"/>
            <rFont val="Arial"/>
            <family val="2"/>
          </rPr>
          <t>45% service/product cost × £600 annual customer spend = £270.</t>
        </r>
      </text>
    </comment>
    <comment ref="B48" authorId="0" shapeId="0" xr:uid="{6FB7BE3C-3BD7-45AB-972F-749066BDC795}">
      <text>
        <r>
          <rPr>
            <sz val="10"/>
            <rFont val="Arial"/>
            <family val="2"/>
          </rPr>
          <t>300 new customers per year used for illustrative CAC calculation.</t>
        </r>
      </text>
    </comment>
    <comment ref="B49" authorId="0" shapeId="0" xr:uid="{4030B6DE-4AF2-4F51-B3C3-B65763725371}">
      <text>
        <r>
          <rPr>
            <sz val="10"/>
            <rFont val="Arial"/>
            <family val="2"/>
          </rPr>
          <t>Year 1 marketing budget: £1,200 per month × 12 = £14,400.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5" authorId="0" shapeId="0" xr:uid="{E1F7E2F8-66D5-461E-BCE7-C56D77ED2505}">
      <text>
        <r>
          <rPr>
            <sz val="10"/>
            <rFont val="Arial"/>
            <family val="2"/>
          </rPr>
          <t>Editable sensitivity input. Chosen as an upside planning case around the 25% base growth assumption; not a market forecast.</t>
        </r>
      </text>
    </comment>
    <comment ref="D5" authorId="0" shapeId="0" xr:uid="{D79BEFB3-90E7-4861-9640-0E40BC16E9B9}">
      <text>
        <r>
          <rPr>
            <sz val="10"/>
            <rFont val="Arial"/>
            <family val="2"/>
          </rPr>
          <t>Editable sensitivity input. Lower COGS represents improved procurement/product mix in the upside case.</t>
        </r>
      </text>
    </comment>
    <comment ref="B7" authorId="0" shapeId="0" xr:uid="{4DB4677E-9555-431B-BD2E-2397AD681309}">
      <text>
        <r>
          <rPr>
            <sz val="10"/>
            <rFont val="Arial"/>
            <family val="2"/>
          </rPr>
          <t>Editable downside sensitivity input. Tests demand weakness against the base case.</t>
        </r>
      </text>
    </comment>
    <comment ref="D7" authorId="0" shapeId="0" xr:uid="{003A2280-C221-4B66-B020-0C79657B2486}">
      <text>
        <r>
          <rPr>
            <sz val="10"/>
            <rFont val="Arial"/>
            <family val="2"/>
          </rPr>
          <t>Editable sensitivity input. Higher COGS represents supplier/input-cost pressure in the downside case.</t>
        </r>
      </text>
    </comment>
  </commentList>
</comments>
</file>

<file path=xl/sharedStrings.xml><?xml version="1.0" encoding="utf-8"?>
<sst xmlns="http://schemas.openxmlformats.org/spreadsheetml/2006/main" count="328" uniqueCount="276">
  <si>
    <t>Venture Profile</t>
  </si>
  <si>
    <t>Item</t>
  </si>
  <si>
    <t>Value</t>
  </si>
  <si>
    <t>Business Name</t>
  </si>
  <si>
    <t>Sector</t>
  </si>
  <si>
    <t>Currency</t>
  </si>
  <si>
    <t>GBP (£)</t>
  </si>
  <si>
    <t>Pricing &amp; Sales Volume</t>
  </si>
  <si>
    <t>Average Price per Order (£)</t>
  </si>
  <si>
    <t>Planning price assumption used consistently to derive revenue and unit economics.</t>
  </si>
  <si>
    <t>Average Orders per Month (Year 1)</t>
  </si>
  <si>
    <t>Report forecast implies £150,000 Year-1 revenue; £50/order × 250 orders/month × 12 = £150,000.</t>
  </si>
  <si>
    <t>Year 2 Revenue Growth (%)</t>
  </si>
  <si>
    <t>Report states 25% annual customer growth; under stable average order value, revenue is modelled to grow 25%.</t>
  </si>
  <si>
    <t>Year 3 Revenue Growth (%)</t>
  </si>
  <si>
    <t>Same logic as Year 2: stable price/order economics means revenue follows the stated 25% growth assumption.</t>
  </si>
  <si>
    <t>Cost of Goods</t>
  </si>
  <si>
    <t>COGS as % of Revenue</t>
  </si>
  <si>
    <t>Planning gross-margin assumption; 45% COGS is stress-tested in scenario analysis.</t>
  </si>
  <si>
    <t>Operating Expenses (monthly base in Year 1)</t>
  </si>
  <si>
    <t>Rent</t>
  </si>
  <si>
    <t>Utilities</t>
  </si>
  <si>
    <t>Salaries and Wages</t>
  </si>
  <si>
    <t>Marketing</t>
  </si>
  <si>
    <t>Insurance</t>
  </si>
  <si>
    <t>Other Opex</t>
  </si>
  <si>
    <t>Opex Growth Y2 (%)</t>
  </si>
  <si>
    <t>Planning cost-inflation assumption; stress-tested at 4%–8% in scenario analysis.</t>
  </si>
  <si>
    <t>Opex Growth Y3 (%)</t>
  </si>
  <si>
    <t>Funding Assumptions</t>
  </si>
  <si>
    <t>Description / Rationale</t>
  </si>
  <si>
    <t>Evidence / Basis</t>
  </si>
  <si>
    <t>Start-Up Loan Amount (£)</t>
  </si>
  <si>
    <t>Annual Interest Rate (%)</t>
  </si>
  <si>
    <t>Loan Term (years)</t>
  </si>
  <si>
    <t>Repayment Starts Month</t>
  </si>
  <si>
    <t>Personal Savings (£)</t>
  </si>
  <si>
    <t>Crowdfunding/Grant (£)</t>
  </si>
  <si>
    <t>Other Source of Funding (1)</t>
  </si>
  <si>
    <t>Angel equity funding providing growth capital without scheduled principal repayment.</t>
  </si>
  <si>
    <t>Other Source of Funding (2)</t>
  </si>
  <si>
    <t>Tax &amp; KPI Assumptions</t>
  </si>
  <si>
    <t>Corporation Tax Rate (%)</t>
  </si>
  <si>
    <t>Retention Rate for LTV calc (%)</t>
  </si>
  <si>
    <t>Average Customer Spend per Year (£)</t>
  </si>
  <si>
    <t>Average Service Cost per Year (£)</t>
  </si>
  <si>
    <t>New Customers per Year (for CAC)</t>
  </si>
  <si>
    <t>Marketing Spend used for CAC (£)</t>
  </si>
  <si>
    <t>Model consistency note</t>
  </si>
  <si>
    <t>Startup Costs and Use of Funds</t>
  </si>
  <si>
    <t>Category</t>
  </si>
  <si>
    <t>Amount (£)</t>
  </si>
  <si>
    <t>Notes</t>
  </si>
  <si>
    <t>Working Capital Buffer</t>
  </si>
  <si>
    <t>Not required in the base case.</t>
  </si>
  <si>
    <t>Total Startup Costs</t>
  </si>
  <si>
    <t>Month</t>
  </si>
  <si>
    <t>M0 (Pre-Launch)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</si>
  <si>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</si>
  <si>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</si>
  <si>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</si>
  <si>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</si>
  <si>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</si>
  <si>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</si>
  <si>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</si>
  <si>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</si>
  <si>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</si>
  <si>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</si>
  <si>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</si>
  <si>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</si>
  <si>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</si>
  <si>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</si>
  <si>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</si>
  <si>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</si>
  <si>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</si>
  <si>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</si>
  <si>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</si>
  <si>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</si>
  <si>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</si>
  <si>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</si>
  <si>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</si>
  <si>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</si>
  <si>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</si>
  <si>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</si>
  <si>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</si>
  <si>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</si>
  <si>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</si>
  <si>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</si>
  <si>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</si>
  <si>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</si>
  <si>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</si>
  <si>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</si>
  <si>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</si>
  <si>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</si>
  <si>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Opening Cash</t>
  </si>
  <si>
    <t>Funding Inflow</t>
  </si>
  <si>
    <t>Startup Cash Deployed (excl. reserve)</t>
  </si>
  <si>
    <t>Revenue</t>
  </si>
  <si>
    <t>COGS</t>
  </si>
  <si>
    <t>Operating Expenses</t>
  </si>
  <si>
    <t>Loan Payment (PMT)</t>
  </si>
  <si>
    <t>Interest Component (for P&amp;L)</t>
  </si>
  <si>
    <t>Net Cash Flow</t>
  </si>
  <si>
    <t>Closing Cash</t>
  </si>
  <si>
    <t>Interest Totals by Year (for P&amp;L link)</t>
  </si>
  <si>
    <t>Year 1 Interest</t>
  </si>
  <si>
    <t>Year 2 Interest</t>
  </si>
  <si>
    <t>Year 3 Interest</t>
  </si>
  <si>
    <t>Source of Finance</t>
  </si>
  <si>
    <t>% of Total</t>
  </si>
  <si>
    <t>Total Funding</t>
  </si>
  <si>
    <t>Startup Costs Total (linked)</t>
  </si>
  <si>
    <t>Status</t>
  </si>
  <si>
    <t>Funding Surplus / (Deficit)</t>
  </si>
  <si>
    <t>Year 1 (£)</t>
  </si>
  <si>
    <t>Year 2 (£)</t>
  </si>
  <si>
    <t>Year 3 (£)</t>
  </si>
  <si>
    <t>Gross Profit</t>
  </si>
  <si>
    <t>EBIT</t>
  </si>
  <si>
    <t>Interest Expense</t>
  </si>
  <si>
    <t>Profit Before Tax</t>
  </si>
  <si>
    <t>Tax</t>
  </si>
  <si>
    <t>Net Profit After Tax</t>
  </si>
  <si>
    <t>Break Even</t>
  </si>
  <si>
    <t>Contribution</t>
  </si>
  <si>
    <t>Units</t>
  </si>
  <si>
    <t>Sales</t>
  </si>
  <si>
    <t>Variable Cost</t>
  </si>
  <si>
    <t>Fixed Cost</t>
  </si>
  <si>
    <t>Total Cost</t>
  </si>
  <si>
    <t>Net Income</t>
  </si>
  <si>
    <t>Units(min)</t>
  </si>
  <si>
    <t>Units (increment)</t>
  </si>
  <si>
    <t>Unit Price</t>
  </si>
  <si>
    <t>Unit Variable Cost</t>
  </si>
  <si>
    <t>Contribution Margin Per Unit</t>
  </si>
  <si>
    <t>Total Fixed Cost</t>
  </si>
  <si>
    <t>Break Even (Units)</t>
  </si>
  <si>
    <t>Break Even (Sales)</t>
  </si>
  <si>
    <t>Break Even Data Label Text</t>
  </si>
  <si>
    <t>Change the Units Increment in Cell C5 to refine the break-even chart resolution.</t>
  </si>
  <si>
    <t>Metric</t>
  </si>
  <si>
    <t>Year 1</t>
  </si>
  <si>
    <t>Year 2</t>
  </si>
  <si>
    <t>Year 3</t>
  </si>
  <si>
    <t>Definition</t>
  </si>
  <si>
    <t>Price × orders × 12 with growth</t>
  </si>
  <si>
    <t>COGS % of revenue</t>
  </si>
  <si>
    <t>Revenue – COGS</t>
  </si>
  <si>
    <t>Yearly opex</t>
  </si>
  <si>
    <t>Interest</t>
  </si>
  <si>
    <t>PBT – tax</t>
  </si>
  <si>
    <t>Gross Profit / Revenue</t>
  </si>
  <si>
    <t>NPAT / Revenue</t>
  </si>
  <si>
    <t>CAC</t>
  </si>
  <si>
    <t>Marketing spend ÷ new customers</t>
  </si>
  <si>
    <t>LTV</t>
  </si>
  <si>
    <t>LTV ÷ CAC</t>
  </si>
  <si>
    <t>Key Financial Indicators</t>
  </si>
  <si>
    <t>Funding &amp; Viability</t>
  </si>
  <si>
    <t>Startup Costs</t>
  </si>
  <si>
    <t>Working Capital Reserve</t>
  </si>
  <si>
    <t>Break-even Units</t>
  </si>
  <si>
    <t>Break-even Sales</t>
  </si>
  <si>
    <t>Gross Margin</t>
  </si>
  <si>
    <t>LTV:CAC</t>
  </si>
  <si>
    <t>Net Margin</t>
  </si>
  <si>
    <t>Funding Status</t>
  </si>
  <si>
    <t>Scenario</t>
  </si>
  <si>
    <t>Y3 NPAT</t>
  </si>
  <si>
    <t>Y3 Closing Cash</t>
  </si>
  <si>
    <t>Cash Status</t>
  </si>
  <si>
    <t>Funding matches startup requirement</t>
  </si>
  <si>
    <t>Y2 Growth</t>
  </si>
  <si>
    <t>Y3 Growth</t>
  </si>
  <si>
    <t>COGS %</t>
  </si>
  <si>
    <t>Opex Growth</t>
  </si>
  <si>
    <t>Y1 Revenue</t>
  </si>
  <si>
    <t>Y2 Revenue</t>
  </si>
  <si>
    <t>Y3 Revenue</t>
  </si>
  <si>
    <t>Best</t>
  </si>
  <si>
    <t>Base</t>
  </si>
  <si>
    <t>Worst</t>
  </si>
  <si>
    <t>Scenario Risk Metrics</t>
  </si>
  <si>
    <t>Y3 Net Margin</t>
  </si>
  <si>
    <t>Y3 Profit Status</t>
  </si>
  <si>
    <t>Interpretation</t>
  </si>
  <si>
    <t>How to read the scenarios</t>
  </si>
  <si>
    <t>• Best case: assumes stronger demand growth (35% annually), lower COGS (42%) and tighter opex growth (4%). It tests upside operating leverage rather than claiming a forecast.</t>
  </si>
  <si>
    <t>• Base case: uses the report-linked 25% growth assumption, 45% COGS and 5% opex growth. Revenue grows from £150,000 to £187,500 and £234,375.</t>
  </si>
  <si>
    <t>• Worst case: assumes 10% annual growth, 50% COGS and 8% opex growth. The resulting negative closing cash identifies a funding/liquidity risk requiring cost reduction, slower expansion or additional finance.</t>
  </si>
  <si>
    <t>Units / Orders</t>
  </si>
  <si>
    <t>Revenue (£)</t>
  </si>
  <si>
    <t>Total Cost (£)</t>
  </si>
  <si>
    <t>The Cake &amp; Crumb Co. UK – Financial Assumptions</t>
  </si>
  <si>
    <t>The Cake &amp; Crumb Co. UK</t>
  </si>
  <si>
    <t>Online bakery, celebration cakes and local delivery</t>
  </si>
  <si>
    <t>Planning blended order value across celebration cakes, cupcakes and bakery boxes.</t>
  </si>
  <si>
    <t>£45 average order × 300 orders/month × 12 = £162,000 Year-1 revenue.</t>
  </si>
  <si>
    <t>Base-case revenue growth assumption applied consistently to the forecast.</t>
  </si>
  <si>
    <t>Base-case revenue growth assumption; maintains forecast consistency.</t>
  </si>
  <si>
    <t>Planning COGS assumption covering ingredients and direct production inputs; stress-tested in scenarios.</t>
  </si>
  <si>
    <t>Planning rent assumption for a small bakery production/retail unit.</t>
  </si>
  <si>
    <t>Planning utilities assumption reflecting ovens, refrigeration and premises use.</t>
  </si>
  <si>
    <t>Planning staffing assumption for production, fulfilment and customer service.</t>
  </si>
  <si>
    <t>Planning customer-acquisition budget.</t>
  </si>
  <si>
    <t>Planning business insurance allowance.</t>
  </si>
  <si>
    <t>Planning miscellaneous operating costs.</t>
  </si>
  <si>
    <t>Base-case operating-cost growth; stress-tested at 4%–8%.</t>
  </si>
  <si>
    <t>Three-year start-up loan for equipment, premises and launch infrastructure.</t>
  </si>
  <si>
    <t>Planning assumption; lender terms to be confirmed.</t>
  </si>
  <si>
    <t>Planning debt-cost assumption.</t>
  </si>
  <si>
    <t>Aligned with the three-year forecast horizon.</t>
  </si>
  <si>
    <t>Planning assumption: debt service starts at launch.</t>
  </si>
  <si>
    <t>Founder capital demonstrating commitment and reducing external finance reliance.</t>
  </si>
  <si>
    <t>Base-case funding plan.</t>
  </si>
  <si>
    <t>No grant/crowdfunding assumed; treated as upside rather than required funding.</t>
  </si>
  <si>
    <t>Base-case decision avoids dependence on uncertain awards.</t>
  </si>
  <si>
    <t>Equity percentage and terms to be negotiated and documented.</t>
  </si>
  <si>
    <t>No additional funding assumed in base case.</t>
  </si>
  <si>
    <t>Avoids overstating liquidity.</t>
  </si>
  <si>
    <t>Planning corporation-tax rate; actual liability depends on taxable profits and applicable rules.</t>
  </si>
  <si>
    <t>Planning customer-retention assumption for simplified LTV proxy.</t>
  </si>
  <si>
    <t>Planning annual customer spend: £45 average order × 12 orders.</t>
  </si>
  <si>
    <t>Planning annual service/direct fulfilment cost proxy.</t>
  </si>
  <si>
    <t>Planning annual new-customer acquisition volume.</t>
  </si>
  <si>
    <t>Planning annual marketing spend used for simplified CAC.</t>
  </si>
  <si>
    <t>Base case uses a £20,000 ring-fenced working-capital reserve.</t>
  </si>
  <si>
    <t>This liquidity assumption must be reflected consistently in the report and model.</t>
  </si>
  <si>
    <t>Scenario analysis tests downside liquidity pressure.</t>
  </si>
  <si>
    <t>Commercial bakery equipment</t>
  </si>
  <si>
    <t>Ovens, mixers, refrigeration and small production equipment.</t>
  </si>
  <si>
    <t>Premises fit-out</t>
  </si>
  <si>
    <t>Food-preparation area, electrical/plumbing works and customer-facing setup.</t>
  </si>
  <si>
    <t>Initial ingredients &amp; packaging</t>
  </si>
  <si>
    <t>Opening ingredients, cake boards, boxes and bakery packaging.</t>
  </si>
  <si>
    <t>Licences, legal &amp; food compliance</t>
  </si>
  <si>
    <t>Company formation, legal advice and initial compliance setup.</t>
  </si>
  <si>
    <t>Branding &amp; launch marketing</t>
  </si>
  <si>
    <t>Brand identity, launch campaign and customer acquisition.</t>
  </si>
  <si>
    <t>Ring-fenced liquidity reserve retained as cash rather than consumed at launch.</t>
  </si>
  <si>
    <t>Pre-launch salaries/training</t>
  </si>
  <si>
    <t>Limited pre-opening staffing and training.</t>
  </si>
  <si>
    <t>Website &amp; e-commerce</t>
  </si>
  <si>
    <t>Online ordering, product catalogue and payment-enabled website.</t>
  </si>
  <si>
    <t>Delivery &amp; logistics setup</t>
  </si>
  <si>
    <t>Local delivery equipment and initial logistics setup.</t>
  </si>
  <si>
    <t>POS/software/IT</t>
  </si>
  <si>
    <t>Till/POS, accounting and operational software setup.</t>
  </si>
  <si>
    <t>Other Startup Costs</t>
  </si>
  <si>
    <t>The Cake &amp; Crumb Co. UK – Monthly Cash Flow – 36 Months</t>
  </si>
  <si>
    <t>Tax Cash Payment</t>
  </si>
  <si>
    <t>The Cake &amp; Crumb Co. UK – Funding Sources Summary</t>
  </si>
  <si>
    <t>The Cake &amp; Crumb Co. UK – Profit and Loss Summary – 3 Years</t>
  </si>
  <si>
    <t>Break-Even Analysis</t>
  </si>
  <si>
    <t>The Cake &amp; Crumb Co. UK – Key Metrics and Ratios by Year</t>
  </si>
  <si>
    <t>Annual interest expense</t>
  </si>
  <si>
    <t>Simplified planning proxy</t>
  </si>
  <si>
    <t>The Cake &amp; Crumb Co. UK – Financial Dashboard</t>
  </si>
  <si>
    <t>Model Checks</t>
  </si>
  <si>
    <t>All figures are planning assumptions and model outputs; scenarios are sensitivities, not market forecasts.</t>
  </si>
  <si>
    <t>Revenue growth matches 25% base assumption</t>
  </si>
  <si>
    <t>Base-case closing cash non-negative</t>
  </si>
  <si>
    <t>Worst-case liquidity warning</t>
  </si>
  <si>
    <t>The Cake &amp; Crumb Co. UK – Quantified Scenario Analysis</t>
  </si>
  <si>
    <t>Sensitivity testing of demand growth, COGS and operating-cost growth. Scenarios are planning sensitivities, not market forecasts.</t>
  </si>
  <si>
    <t>Higher demand and lower COGS improve margin, cash generation and resilience.</t>
  </si>
  <si>
    <t>Base case is the planning reference case and remains dependent on sustained growth and cost control.</t>
  </si>
  <si>
    <t>Slower growth, higher COGS and higher opex create sustained losses and a material liquidity shortfall.</t>
  </si>
  <si>
    <t>Balanced</t>
  </si>
  <si>
    <t>PASS</t>
  </si>
  <si>
    <t>WARNING – downside funding needed</t>
  </si>
  <si>
    <t>Positive</t>
  </si>
  <si>
    <t>Profitable</t>
  </si>
  <si>
    <t>Funding / liquidity gap</t>
  </si>
  <si>
    <t>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</si>
</sst>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£#,##0.00"/>
    <numFmt numFmtId="165" formatCode="0.0%"/>
    <numFmt numFmtId="166" formatCode="_-\£* #,##0.00_-;&quot;-£&quot;* #,##0.00_-;_-\£* \-??_-;_-@_-"/>
    <numFmt numFmtId="167" formatCode="\£#,##0"/>
    <numFmt numFmtId="168" formatCode="\£#,##0;[Red]&quot;-£&quot;#,##0"/>
    <numFmt numFmtId="169" formatCode="0.00\x"/>
    <numFmt numFmtId="170" formatCode="\£#,##0;[Red]&quot;(£&quot;#,##0\)"/>
    <numFmt numFmtId="171" formatCode="\£#,##0.00;[Red]&quot;-£&quot;#,##0.00"/>
  </numFmts>
  <fonts count="16" x14ac:knownFonts="1">
    <font>
      <sz val="11"/>
      <color theme="1"/>
      <name val="Calibri"/>
      <family val="2"/>
      <scheme val="minor"/>
    </font>
    <font>
      <b/>
      <sz val="11"/>
      <color rgb="FF1F4E79"/>
      <name val="Calibri"/>
      <family val="2"/>
      <charset val="1"/>
    </font>
    <font>
      <sz val="10"/>
      <name val="Arial"/>
      <family val="2"/>
    </font>
    <font>
      <b/>
      <sz val="11"/>
      <color theme="1"/>
      <name val="Calibri"/>
      <family val="2"/>
      <charset val="1"/>
    </font>
    <font>
      <i/>
      <sz val="11"/>
      <color rgb="FF666666"/>
      <name val="Calibri"/>
      <family val="2"/>
      <charset val="1"/>
    </font>
    <font>
      <b/>
      <sz val="14"/>
      <color rgb="FFFFFFFF"/>
      <name val="Cambria"/>
      <family val="1"/>
    </font>
    <font>
      <sz val="11"/>
      <color rgb="FF1F1F1F"/>
      <name val="Cambria"/>
      <family val="1"/>
      <charset val="1"/>
    </font>
    <font>
      <b/>
      <sz val="14"/>
      <color rgb="FFFFFFFF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name val="Cambria"/>
      <family val="1"/>
      <charset val="1"/>
    </font>
    <font>
      <b/>
      <sz val="11"/>
      <color rgb="FFFFFFFF"/>
      <name val="Cambria"/>
      <family val="1"/>
      <charset val="1"/>
    </font>
    <font>
      <b/>
      <sz val="11"/>
      <name val="Cambria"/>
      <family val="1"/>
      <charset val="1"/>
    </font>
    <font>
      <b/>
      <sz val="12"/>
      <color rgb="FFFFFFFF"/>
      <name val="Cambria"/>
      <family val="1"/>
      <charset val="1"/>
    </font>
    <font>
      <i/>
      <sz val="11"/>
      <color rgb="FF1F1F1F"/>
      <name val="Cambria"/>
      <family val="1"/>
      <charset val="1"/>
    </font>
    <font>
      <b/>
      <sz val="11"/>
      <color rgb="FF1F1F1F"/>
      <name val="Cambria"/>
      <family val="1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2CC"/>
        <bgColor rgb="FFF3F6F9"/>
      </patternFill>
    </fill>
    <fill>
      <patternFill patternType="solid">
        <fgColor rgb="FFF3F6F9"/>
        <bgColor rgb="FFFFFFFF"/>
      </patternFill>
    </fill>
    <fill>
      <patternFill patternType="solid">
        <fgColor rgb="FFD9E1F2"/>
        <bgColor rgb="FFD9EAF7"/>
      </patternFill>
    </fill>
    <fill>
      <patternFill patternType="solid">
        <fgColor rgb="FFFF0000"/>
        <bgColor rgb="FF800000"/>
      </patternFill>
    </fill>
    <fill>
      <patternFill patternType="solid">
        <fgColor rgb="FF1F4E78"/>
        <bgColor rgb="FF1F4E79"/>
      </patternFill>
    </fill>
    <fill>
      <patternFill patternType="solid">
        <fgColor rgb="FFD9EAF7"/>
        <bgColor rgb="FFD9E1F2"/>
      </patternFill>
    </fill>
    <fill>
      <patternFill patternType="solid">
        <fgColor rgb="FF00B0F0"/>
        <bgColor rgb="FF008080"/>
      </patternFill>
    </fill>
    <fill>
      <patternFill patternType="solid">
        <fgColor theme="0" tint="-0.34998626667073579"/>
        <bgColor rgb="FFA5A5A5"/>
      </patternFill>
    </fill>
    <fill>
      <patternFill patternType="solid">
        <fgColor rgb="FF5B9BD5"/>
        <bgColor rgb="FF4472C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wrapText="1"/>
    </xf>
    <xf numFmtId="0" fontId="1" fillId="3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5" fillId="6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2" borderId="1" xfId="0" applyFill="1" applyBorder="1" applyAlignment="1" applyProtection="1">
      <alignment vertical="top" wrapText="1"/>
      <protection locked="0"/>
    </xf>
    <xf numFmtId="164" fontId="6" fillId="2" borderId="1" xfId="0" applyNumberFormat="1" applyFont="1" applyFill="1" applyBorder="1" applyAlignment="1" applyProtection="1">
      <alignment vertical="top" wrapText="1"/>
      <protection locked="0"/>
    </xf>
    <xf numFmtId="3" fontId="6" fillId="2" borderId="1" xfId="0" applyNumberFormat="1" applyFont="1" applyFill="1" applyBorder="1" applyAlignment="1" applyProtection="1">
      <alignment vertical="top" wrapText="1"/>
      <protection locked="0"/>
    </xf>
    <xf numFmtId="165" fontId="6" fillId="2" borderId="1" xfId="0" applyNumberFormat="1" applyFont="1" applyFill="1" applyBorder="1" applyAlignment="1" applyProtection="1">
      <alignment vertical="top" wrapText="1"/>
      <protection locked="0"/>
    </xf>
    <xf numFmtId="0" fontId="3" fillId="4" borderId="1" xfId="0" applyFont="1" applyFill="1" applyBorder="1" applyAlignment="1" applyProtection="1">
      <alignment vertical="top" wrapText="1"/>
      <protection locked="0"/>
    </xf>
    <xf numFmtId="166" fontId="0" fillId="0" borderId="1" xfId="0" applyNumberFormat="1" applyBorder="1" applyAlignment="1" applyProtection="1">
      <alignment vertical="top" wrapText="1"/>
      <protection locked="0"/>
    </xf>
    <xf numFmtId="9" fontId="0" fillId="0" borderId="1" xfId="0" applyNumberFormat="1" applyBorder="1" applyAlignment="1" applyProtection="1">
      <alignment vertical="top" wrapText="1"/>
      <protection locked="0"/>
    </xf>
    <xf numFmtId="1" fontId="6" fillId="2" borderId="1" xfId="0" applyNumberFormat="1" applyFont="1" applyFill="1" applyBorder="1" applyAlignment="1" applyProtection="1">
      <alignment vertical="top" wrapText="1"/>
      <protection locked="0"/>
    </xf>
    <xf numFmtId="0" fontId="0" fillId="0" borderId="1" xfId="0" applyBorder="1" applyAlignment="1" applyProtection="1">
      <alignment vertical="top" wrapText="1"/>
      <protection locked="0"/>
    </xf>
    <xf numFmtId="49" fontId="0" fillId="0" borderId="1" xfId="0" applyNumberFormat="1" applyBorder="1" applyAlignment="1">
      <alignment vertical="top" wrapText="1"/>
    </xf>
    <xf numFmtId="0" fontId="6" fillId="2" borderId="1" xfId="0" applyFont="1" applyFill="1" applyBorder="1" applyAlignment="1" applyProtection="1">
      <alignment vertical="top" wrapText="1"/>
      <protection locked="0"/>
    </xf>
    <xf numFmtId="0" fontId="4" fillId="0" borderId="0" xfId="0" applyFont="1" applyAlignment="1">
      <alignment vertical="top" wrapText="1"/>
    </xf>
    <xf numFmtId="0" fontId="0" fillId="0" borderId="0" xfId="0" applyAlignment="1" applyProtection="1">
      <alignment vertical="top" wrapText="1"/>
      <protection locked="0"/>
    </xf>
    <xf numFmtId="171" fontId="0" fillId="0" borderId="1" xfId="0" applyNumberFormat="1" applyBorder="1" applyAlignment="1" applyProtection="1">
      <alignment vertical="top" wrapText="1"/>
      <protection locked="0"/>
    </xf>
    <xf numFmtId="171" fontId="0" fillId="0" borderId="1" xfId="0" applyNumberFormat="1" applyBorder="1" applyAlignment="1">
      <alignment vertical="top" wrapText="1"/>
    </xf>
    <xf numFmtId="0" fontId="4" fillId="0" borderId="0" xfId="0" applyFont="1" applyAlignment="1" applyProtection="1">
      <alignment vertical="top" wrapText="1"/>
      <protection locked="0"/>
    </xf>
    <xf numFmtId="0" fontId="7" fillId="6" borderId="0" xfId="0" applyFont="1" applyFill="1" applyAlignment="1" applyProtection="1">
      <alignment vertical="top" wrapText="1"/>
      <protection locked="0"/>
    </xf>
    <xf numFmtId="0" fontId="8" fillId="0" borderId="0" xfId="0" applyFont="1"/>
    <xf numFmtId="0" fontId="8" fillId="0" borderId="0" xfId="0" applyFont="1" applyAlignment="1" applyProtection="1">
      <alignment vertical="top" wrapText="1"/>
      <protection locked="0"/>
    </xf>
    <xf numFmtId="0" fontId="9" fillId="4" borderId="1" xfId="0" applyFont="1" applyFill="1" applyBorder="1" applyAlignment="1" applyProtection="1">
      <alignment vertical="top" wrapText="1"/>
      <protection locked="0"/>
    </xf>
    <xf numFmtId="0" fontId="8" fillId="0" borderId="1" xfId="0" applyFont="1" applyBorder="1" applyAlignment="1" applyProtection="1">
      <alignment vertical="top" wrapText="1"/>
      <protection locked="0"/>
    </xf>
    <xf numFmtId="171" fontId="8" fillId="0" borderId="1" xfId="0" applyNumberFormat="1" applyFont="1" applyBorder="1" applyAlignment="1" applyProtection="1">
      <alignment vertical="top" wrapText="1"/>
      <protection locked="0"/>
    </xf>
    <xf numFmtId="171" fontId="8" fillId="0" borderId="1" xfId="0" applyNumberFormat="1" applyFont="1" applyBorder="1" applyAlignment="1">
      <alignment vertical="top" wrapText="1"/>
    </xf>
    <xf numFmtId="171" fontId="8" fillId="0" borderId="0" xfId="0" applyNumberFormat="1" applyFont="1" applyAlignment="1" applyProtection="1">
      <alignment vertical="top" wrapText="1"/>
      <protection locked="0"/>
    </xf>
    <xf numFmtId="171" fontId="0" fillId="0" borderId="0" xfId="0" applyNumberFormat="1" applyAlignment="1">
      <alignment vertical="top" wrapText="1"/>
    </xf>
    <xf numFmtId="167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166" fontId="0" fillId="0" borderId="1" xfId="0" applyNumberFormat="1" applyBorder="1" applyAlignment="1">
      <alignment vertical="top" wrapText="1"/>
    </xf>
    <xf numFmtId="0" fontId="1" fillId="0" borderId="0" xfId="0" applyFont="1" applyAlignment="1" applyProtection="1">
      <alignment vertical="top" wrapText="1"/>
      <protection locked="0"/>
    </xf>
    <xf numFmtId="0" fontId="0" fillId="8" borderId="0" xfId="0" applyFill="1" applyAlignment="1">
      <alignment vertical="top" wrapText="1"/>
    </xf>
    <xf numFmtId="0" fontId="3" fillId="8" borderId="0" xfId="0" applyFont="1" applyFill="1" applyAlignment="1">
      <alignment vertical="top" wrapText="1"/>
    </xf>
    <xf numFmtId="3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168" fontId="0" fillId="0" borderId="0" xfId="0" applyNumberFormat="1" applyAlignment="1">
      <alignment vertical="top" wrapText="1"/>
    </xf>
    <xf numFmtId="0" fontId="0" fillId="5" borderId="1" xfId="0" applyFill="1" applyBorder="1" applyAlignment="1" applyProtection="1">
      <alignment vertical="top" wrapText="1"/>
      <protection locked="0"/>
    </xf>
    <xf numFmtId="164" fontId="0" fillId="9" borderId="1" xfId="0" applyNumberFormat="1" applyFill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4" fontId="3" fillId="0" borderId="0" xfId="0" applyNumberFormat="1" applyFont="1" applyAlignment="1">
      <alignment vertical="top" wrapText="1"/>
    </xf>
    <xf numFmtId="4" fontId="0" fillId="0" borderId="1" xfId="0" applyNumberForma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5" borderId="0" xfId="0" applyFill="1" applyAlignment="1">
      <alignment vertical="top" wrapText="1"/>
    </xf>
    <xf numFmtId="169" fontId="0" fillId="0" borderId="1" xfId="0" applyNumberFormat="1" applyBorder="1" applyAlignment="1">
      <alignment vertical="top" wrapText="1"/>
    </xf>
    <xf numFmtId="3" fontId="0" fillId="0" borderId="1" xfId="0" applyNumberFormat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11" fillId="10" borderId="0" xfId="0" applyFont="1" applyFill="1" applyAlignment="1">
      <alignment vertical="top" wrapText="1"/>
    </xf>
    <xf numFmtId="164" fontId="11" fillId="10" borderId="0" xfId="0" applyNumberFormat="1" applyFont="1" applyFill="1" applyAlignment="1">
      <alignment vertical="top" wrapText="1"/>
    </xf>
    <xf numFmtId="0" fontId="12" fillId="0" borderId="0" xfId="0" applyFont="1" applyAlignment="1">
      <alignment vertical="top" wrapText="1"/>
    </xf>
    <xf numFmtId="165" fontId="0" fillId="0" borderId="0" xfId="0" applyNumberFormat="1" applyAlignment="1">
      <alignment vertical="top" wrapText="1"/>
    </xf>
    <xf numFmtId="169" fontId="0" fillId="0" borderId="0" xfId="0" applyNumberFormat="1" applyAlignment="1">
      <alignment vertical="top" wrapText="1"/>
    </xf>
    <xf numFmtId="0" fontId="13" fillId="6" borderId="0" xfId="0" applyFont="1" applyFill="1" applyAlignment="1">
      <alignment vertical="top" wrapText="1"/>
    </xf>
    <xf numFmtId="0" fontId="11" fillId="6" borderId="0" xfId="0" applyFont="1" applyFill="1" applyAlignment="1">
      <alignment vertical="top" wrapText="1"/>
    </xf>
    <xf numFmtId="0" fontId="0" fillId="0" borderId="2" xfId="0" applyBorder="1" applyAlignment="1">
      <alignment vertical="top" wrapText="1"/>
    </xf>
    <xf numFmtId="165" fontId="0" fillId="0" borderId="2" xfId="0" applyNumberFormat="1" applyBorder="1" applyAlignment="1">
      <alignment vertical="top" wrapText="1"/>
    </xf>
    <xf numFmtId="170" fontId="0" fillId="0" borderId="2" xfId="0" applyNumberFormat="1" applyBorder="1" applyAlignment="1">
      <alignment vertical="top" wrapText="1"/>
    </xf>
    <xf numFmtId="0" fontId="12" fillId="7" borderId="0" xfId="0" applyFont="1" applyFill="1" applyAlignment="1">
      <alignment vertical="top" wrapText="1"/>
    </xf>
    <xf numFmtId="0" fontId="11" fillId="6" borderId="2" xfId="0" applyFont="1" applyFill="1" applyBorder="1" applyAlignment="1">
      <alignment vertical="top" wrapText="1"/>
    </xf>
    <xf numFmtId="165" fontId="0" fillId="2" borderId="2" xfId="0" applyNumberFormat="1" applyFill="1" applyBorder="1" applyAlignment="1">
      <alignment vertical="top" wrapText="1"/>
    </xf>
    <xf numFmtId="171" fontId="0" fillId="0" borderId="2" xfId="0" applyNumberFormat="1" applyBorder="1" applyAlignment="1">
      <alignment vertical="top" wrapText="1"/>
    </xf>
    <xf numFmtId="3" fontId="0" fillId="0" borderId="2" xfId="0" applyNumberFormat="1" applyBorder="1" applyAlignment="1">
      <alignment vertical="top" wrapText="1"/>
    </xf>
    <xf numFmtId="164" fontId="0" fillId="0" borderId="2" xfId="0" applyNumberFormat="1" applyBorder="1" applyAlignment="1">
      <alignment vertical="top" wrapText="1"/>
    </xf>
    <xf numFmtId="0" fontId="5" fillId="6" borderId="0" xfId="0" applyFont="1" applyFill="1" applyAlignment="1" applyProtection="1">
      <alignment vertical="top" wrapText="1"/>
      <protection locked="0"/>
    </xf>
    <xf numFmtId="0" fontId="5" fillId="6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4" fillId="7" borderId="0" xfId="0" applyFont="1" applyFill="1" applyAlignment="1">
      <alignment vertical="top" wrapText="1"/>
    </xf>
    <xf numFmtId="0" fontId="11" fillId="6" borderId="0" xfId="0" applyFont="1" applyFill="1" applyAlignment="1">
      <alignment vertical="top" wrapText="1"/>
    </xf>
    <xf numFmtId="0" fontId="15" fillId="7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baseline="0">
                <a:solidFill>
                  <a:schemeClr val="bg1"/>
                </a:solidFill>
                <a:uFillTx/>
                <a:latin typeface="Calibri"/>
              </a:rPr>
              <a:t>Break-Even: Revenue vs Total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'Break-Even'!$Z$1</c:f>
              <c:strCache>
                <c:ptCount val="1"/>
                <c:pt idx="0">
                  <c:v>Revenue (£)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'Break-Even'!$Y$2:$Y$15</c:f>
              <c:numCache>
                <c:formatCode>General</c:formatCode>
                <c:ptCount val="14"/>
                <c:pt idx="0">
                  <c:v>0</c:v>
                </c:pt>
                <c:pt idx="1">
                  <c:v>500</c:v>
                </c:pt>
                <c:pt idx="2" formatCode="#,##0">
                  <c:v>1000</c:v>
                </c:pt>
                <c:pt idx="3" formatCode="#,##0">
                  <c:v>1500</c:v>
                </c:pt>
                <c:pt idx="4" formatCode="#,##0">
                  <c:v>2000</c:v>
                </c:pt>
                <c:pt idx="5" formatCode="#,##0">
                  <c:v>2500</c:v>
                </c:pt>
                <c:pt idx="6" formatCode="#,##0">
                  <c:v>3000</c:v>
                </c:pt>
                <c:pt idx="7" formatCode="#,##0.00">
                  <c:v>3272.73</c:v>
                </c:pt>
                <c:pt idx="8" formatCode="#,##0">
                  <c:v>3500</c:v>
                </c:pt>
                <c:pt idx="9" formatCode="#,##0">
                  <c:v>4000</c:v>
                </c:pt>
                <c:pt idx="10" formatCode="#,##0">
                  <c:v>4500</c:v>
                </c:pt>
                <c:pt idx="11" formatCode="#,##0">
                  <c:v>5000</c:v>
                </c:pt>
                <c:pt idx="12" formatCode="#,##0">
                  <c:v>5500</c:v>
                </c:pt>
                <c:pt idx="13" formatCode="#,##0">
                  <c:v>6000</c:v>
                </c:pt>
              </c:numCache>
            </c:numRef>
          </c:xVal>
          <c:yVal>
            <c:numRef>
              <c:f>'Break-Even'!$Z$2:$Z$15</c:f>
              <c:numCache>
                <c:formatCode>#,##0</c:formatCode>
                <c:ptCount val="14"/>
                <c:pt idx="0" formatCode="General">
                  <c:v>0</c:v>
                </c:pt>
                <c:pt idx="1">
                  <c:v>25000</c:v>
                </c:pt>
                <c:pt idx="2">
                  <c:v>50000</c:v>
                </c:pt>
                <c:pt idx="3">
                  <c:v>75000</c:v>
                </c:pt>
                <c:pt idx="4">
                  <c:v>100000</c:v>
                </c:pt>
                <c:pt idx="5">
                  <c:v>125000</c:v>
                </c:pt>
                <c:pt idx="6">
                  <c:v>150000</c:v>
                </c:pt>
                <c:pt idx="7" formatCode="#,##0.00">
                  <c:v>163636.35999999999</c:v>
                </c:pt>
                <c:pt idx="8">
                  <c:v>175000</c:v>
                </c:pt>
                <c:pt idx="9">
                  <c:v>200000</c:v>
                </c:pt>
                <c:pt idx="10">
                  <c:v>225000</c:v>
                </c:pt>
                <c:pt idx="11">
                  <c:v>250000</c:v>
                </c:pt>
                <c:pt idx="12">
                  <c:v>275000</c:v>
                </c:pt>
                <c:pt idx="13">
                  <c:v>300000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0D-444D-9972-2B24CC6709D2}"/>
            </c:ext>
          </c:extLst>
        </c:ser>
        <c:ser>
          <c:idx val="1"/>
          <c:order val="1"/>
          <c:tx>
            <c:strRef>
              <c:f>'Break-Even'!$AA$1</c:f>
              <c:strCache>
                <c:ptCount val="1"/>
                <c:pt idx="0">
                  <c:v>Total Cost (£)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'Break-Even'!$Y$2:$Y$15</c:f>
              <c:numCache>
                <c:formatCode>General</c:formatCode>
                <c:ptCount val="14"/>
                <c:pt idx="0">
                  <c:v>0</c:v>
                </c:pt>
                <c:pt idx="1">
                  <c:v>500</c:v>
                </c:pt>
                <c:pt idx="2" formatCode="#,##0">
                  <c:v>1000</c:v>
                </c:pt>
                <c:pt idx="3" formatCode="#,##0">
                  <c:v>1500</c:v>
                </c:pt>
                <c:pt idx="4" formatCode="#,##0">
                  <c:v>2000</c:v>
                </c:pt>
                <c:pt idx="5" formatCode="#,##0">
                  <c:v>2500</c:v>
                </c:pt>
                <c:pt idx="6" formatCode="#,##0">
                  <c:v>3000</c:v>
                </c:pt>
                <c:pt idx="7" formatCode="#,##0.00">
                  <c:v>3272.73</c:v>
                </c:pt>
                <c:pt idx="8" formatCode="#,##0">
                  <c:v>3500</c:v>
                </c:pt>
                <c:pt idx="9" formatCode="#,##0">
                  <c:v>4000</c:v>
                </c:pt>
                <c:pt idx="10" formatCode="#,##0">
                  <c:v>4500</c:v>
                </c:pt>
                <c:pt idx="11" formatCode="#,##0">
                  <c:v>5000</c:v>
                </c:pt>
                <c:pt idx="12" formatCode="#,##0">
                  <c:v>5500</c:v>
                </c:pt>
                <c:pt idx="13" formatCode="#,##0">
                  <c:v>6000</c:v>
                </c:pt>
              </c:numCache>
            </c:numRef>
          </c:xVal>
          <c:yVal>
            <c:numRef>
              <c:f>'Break-Even'!$AA$2:$AA$15</c:f>
              <c:numCache>
                <c:formatCode>#,##0</c:formatCode>
                <c:ptCount val="14"/>
                <c:pt idx="0">
                  <c:v>90000</c:v>
                </c:pt>
                <c:pt idx="1">
                  <c:v>101250</c:v>
                </c:pt>
                <c:pt idx="2">
                  <c:v>112500</c:v>
                </c:pt>
                <c:pt idx="3">
                  <c:v>123750</c:v>
                </c:pt>
                <c:pt idx="4">
                  <c:v>135000</c:v>
                </c:pt>
                <c:pt idx="5">
                  <c:v>146250</c:v>
                </c:pt>
                <c:pt idx="6">
                  <c:v>157500</c:v>
                </c:pt>
                <c:pt idx="7" formatCode="#,##0.00">
                  <c:v>163636.35999999999</c:v>
                </c:pt>
                <c:pt idx="8">
                  <c:v>168750</c:v>
                </c:pt>
                <c:pt idx="9">
                  <c:v>180000</c:v>
                </c:pt>
                <c:pt idx="10">
                  <c:v>191250</c:v>
                </c:pt>
                <c:pt idx="11">
                  <c:v>202500</c:v>
                </c:pt>
                <c:pt idx="12">
                  <c:v>213750</c:v>
                </c:pt>
                <c:pt idx="13">
                  <c:v>225000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0D-444D-9972-2B24CC670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5557695"/>
        <c:axId val="1343139951"/>
      </c:scatterChart>
      <c:valAx>
        <c:axId val="1145557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139951"/>
        <c:crosses val="autoZero"/>
        <c:crossBetween val="midCat"/>
      </c:valAx>
      <c:valAx>
        <c:axId val="134313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5576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Break-Even: Revenue vs Total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Revenue</c:v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'[1]Break-Even'!$E$4:$E$54</c:f>
              <c:numCache>
                <c:formatCode>General</c:formatCode>
                <c:ptCount val="5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</c:numCache>
            </c:numRef>
          </c:xVal>
          <c:yVal>
            <c:numRef>
              <c:f>'[1]Break-Even'!$F$4:$F$54</c:f>
              <c:numCache>
                <c:formatCode>\£#,##0.00</c:formatCode>
                <c:ptCount val="51"/>
                <c:pt idx="0">
                  <c:v>0</c:v>
                </c:pt>
                <c:pt idx="1">
                  <c:v>4500</c:v>
                </c:pt>
                <c:pt idx="2">
                  <c:v>9000</c:v>
                </c:pt>
                <c:pt idx="3">
                  <c:v>13500</c:v>
                </c:pt>
                <c:pt idx="4">
                  <c:v>18000</c:v>
                </c:pt>
                <c:pt idx="5">
                  <c:v>22500</c:v>
                </c:pt>
                <c:pt idx="6">
                  <c:v>27000</c:v>
                </c:pt>
                <c:pt idx="7">
                  <c:v>31500</c:v>
                </c:pt>
                <c:pt idx="8">
                  <c:v>36000</c:v>
                </c:pt>
                <c:pt idx="9">
                  <c:v>40500</c:v>
                </c:pt>
                <c:pt idx="10">
                  <c:v>45000</c:v>
                </c:pt>
                <c:pt idx="11">
                  <c:v>49500</c:v>
                </c:pt>
                <c:pt idx="12">
                  <c:v>54000</c:v>
                </c:pt>
                <c:pt idx="13">
                  <c:v>58500</c:v>
                </c:pt>
                <c:pt idx="14">
                  <c:v>63000</c:v>
                </c:pt>
                <c:pt idx="15">
                  <c:v>67500</c:v>
                </c:pt>
                <c:pt idx="16">
                  <c:v>72000</c:v>
                </c:pt>
                <c:pt idx="17">
                  <c:v>76500</c:v>
                </c:pt>
                <c:pt idx="18">
                  <c:v>81000</c:v>
                </c:pt>
                <c:pt idx="19">
                  <c:v>85500</c:v>
                </c:pt>
                <c:pt idx="20">
                  <c:v>90000</c:v>
                </c:pt>
                <c:pt idx="21">
                  <c:v>94500</c:v>
                </c:pt>
                <c:pt idx="22">
                  <c:v>99000</c:v>
                </c:pt>
                <c:pt idx="23">
                  <c:v>103500</c:v>
                </c:pt>
                <c:pt idx="24">
                  <c:v>108000</c:v>
                </c:pt>
                <c:pt idx="25">
                  <c:v>112500</c:v>
                </c:pt>
                <c:pt idx="26">
                  <c:v>117000</c:v>
                </c:pt>
                <c:pt idx="27">
                  <c:v>121500</c:v>
                </c:pt>
                <c:pt idx="28">
                  <c:v>126000</c:v>
                </c:pt>
                <c:pt idx="29">
                  <c:v>130500</c:v>
                </c:pt>
                <c:pt idx="30">
                  <c:v>135000</c:v>
                </c:pt>
                <c:pt idx="31">
                  <c:v>139500</c:v>
                </c:pt>
                <c:pt idx="32">
                  <c:v>144000</c:v>
                </c:pt>
                <c:pt idx="33">
                  <c:v>148500</c:v>
                </c:pt>
                <c:pt idx="34">
                  <c:v>153000</c:v>
                </c:pt>
                <c:pt idx="35">
                  <c:v>157500</c:v>
                </c:pt>
                <c:pt idx="36">
                  <c:v>162000</c:v>
                </c:pt>
                <c:pt idx="37">
                  <c:v>166500</c:v>
                </c:pt>
                <c:pt idx="38">
                  <c:v>171000</c:v>
                </c:pt>
                <c:pt idx="39">
                  <c:v>175500</c:v>
                </c:pt>
                <c:pt idx="40">
                  <c:v>180000</c:v>
                </c:pt>
                <c:pt idx="41">
                  <c:v>184500</c:v>
                </c:pt>
                <c:pt idx="42">
                  <c:v>189000</c:v>
                </c:pt>
                <c:pt idx="43">
                  <c:v>193500</c:v>
                </c:pt>
                <c:pt idx="44">
                  <c:v>198000</c:v>
                </c:pt>
                <c:pt idx="45">
                  <c:v>202500</c:v>
                </c:pt>
                <c:pt idx="46">
                  <c:v>207000</c:v>
                </c:pt>
                <c:pt idx="47">
                  <c:v>211500</c:v>
                </c:pt>
                <c:pt idx="48">
                  <c:v>216000</c:v>
                </c:pt>
                <c:pt idx="49">
                  <c:v>220500</c:v>
                </c:pt>
                <c:pt idx="50">
                  <c:v>225000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5D-4EA5-9096-481D06085D5F}"/>
            </c:ext>
          </c:extLst>
        </c:ser>
        <c:ser>
          <c:idx val="1"/>
          <c:order val="1"/>
          <c:tx>
            <c:v>Total Cost</c:v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'[1]Break-Even'!$E$4:$E$54</c:f>
              <c:numCache>
                <c:formatCode>General</c:formatCode>
                <c:ptCount val="5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</c:numCache>
            </c:numRef>
          </c:xVal>
          <c:yVal>
            <c:numRef>
              <c:f>'[1]Break-Even'!$J$4:$J$54</c:f>
              <c:numCache>
                <c:formatCode>\£#,##0.00</c:formatCode>
                <c:ptCount val="51"/>
                <c:pt idx="0">
                  <c:v>99600</c:v>
                </c:pt>
                <c:pt idx="1">
                  <c:v>101400</c:v>
                </c:pt>
                <c:pt idx="2">
                  <c:v>103200</c:v>
                </c:pt>
                <c:pt idx="3">
                  <c:v>105000</c:v>
                </c:pt>
                <c:pt idx="4">
                  <c:v>106800</c:v>
                </c:pt>
                <c:pt idx="5">
                  <c:v>108600</c:v>
                </c:pt>
                <c:pt idx="6">
                  <c:v>110400</c:v>
                </c:pt>
                <c:pt idx="7">
                  <c:v>112200</c:v>
                </c:pt>
                <c:pt idx="8">
                  <c:v>114000</c:v>
                </c:pt>
                <c:pt idx="9">
                  <c:v>115800</c:v>
                </c:pt>
                <c:pt idx="10">
                  <c:v>117600</c:v>
                </c:pt>
                <c:pt idx="11">
                  <c:v>119400</c:v>
                </c:pt>
                <c:pt idx="12">
                  <c:v>121200</c:v>
                </c:pt>
                <c:pt idx="13">
                  <c:v>123000</c:v>
                </c:pt>
                <c:pt idx="14">
                  <c:v>124800</c:v>
                </c:pt>
                <c:pt idx="15">
                  <c:v>126600</c:v>
                </c:pt>
                <c:pt idx="16">
                  <c:v>128400</c:v>
                </c:pt>
                <c:pt idx="17">
                  <c:v>130200</c:v>
                </c:pt>
                <c:pt idx="18">
                  <c:v>132000</c:v>
                </c:pt>
                <c:pt idx="19">
                  <c:v>133800</c:v>
                </c:pt>
                <c:pt idx="20">
                  <c:v>135600</c:v>
                </c:pt>
                <c:pt idx="21">
                  <c:v>137400</c:v>
                </c:pt>
                <c:pt idx="22">
                  <c:v>139200</c:v>
                </c:pt>
                <c:pt idx="23">
                  <c:v>141000</c:v>
                </c:pt>
                <c:pt idx="24">
                  <c:v>142800</c:v>
                </c:pt>
                <c:pt idx="25">
                  <c:v>144600</c:v>
                </c:pt>
                <c:pt idx="26">
                  <c:v>146400</c:v>
                </c:pt>
                <c:pt idx="27">
                  <c:v>148200</c:v>
                </c:pt>
                <c:pt idx="28">
                  <c:v>150000</c:v>
                </c:pt>
                <c:pt idx="29">
                  <c:v>151800</c:v>
                </c:pt>
                <c:pt idx="30">
                  <c:v>153600</c:v>
                </c:pt>
                <c:pt idx="31">
                  <c:v>155400</c:v>
                </c:pt>
                <c:pt idx="32">
                  <c:v>157200</c:v>
                </c:pt>
                <c:pt idx="33">
                  <c:v>159000</c:v>
                </c:pt>
                <c:pt idx="34">
                  <c:v>160800</c:v>
                </c:pt>
                <c:pt idx="35">
                  <c:v>162600</c:v>
                </c:pt>
                <c:pt idx="36">
                  <c:v>164400</c:v>
                </c:pt>
                <c:pt idx="37">
                  <c:v>166200</c:v>
                </c:pt>
                <c:pt idx="38">
                  <c:v>168000</c:v>
                </c:pt>
                <c:pt idx="39">
                  <c:v>169800</c:v>
                </c:pt>
                <c:pt idx="40">
                  <c:v>171600</c:v>
                </c:pt>
                <c:pt idx="41">
                  <c:v>173400</c:v>
                </c:pt>
                <c:pt idx="42">
                  <c:v>175200</c:v>
                </c:pt>
                <c:pt idx="43">
                  <c:v>177000</c:v>
                </c:pt>
                <c:pt idx="44">
                  <c:v>178800</c:v>
                </c:pt>
                <c:pt idx="45">
                  <c:v>180600</c:v>
                </c:pt>
                <c:pt idx="46">
                  <c:v>182400</c:v>
                </c:pt>
                <c:pt idx="47">
                  <c:v>184200</c:v>
                </c:pt>
                <c:pt idx="48">
                  <c:v>186000</c:v>
                </c:pt>
                <c:pt idx="49">
                  <c:v>187800</c:v>
                </c:pt>
                <c:pt idx="50">
                  <c:v>189600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5D-4EA5-9096-481D06085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39547"/>
        <c:axId val="94066011"/>
      </c:scatterChart>
      <c:valAx>
        <c:axId val="467395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Units / 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66011"/>
        <c:crosses val="autoZero"/>
        <c:crossBetween val="midCat"/>
      </c:valAx>
      <c:valAx>
        <c:axId val="940660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£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£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395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Source of Start-up Finance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'[1]Funding Mix'!$B$3</c:f>
              <c:strCache>
                <c:ptCount val="1"/>
                <c:pt idx="0">
                  <c:v>Amount (£)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7A01-4677-8B3A-D7F194B1C95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A01-4677-8B3A-D7F194B1C95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7A01-4677-8B3A-D7F194B1C95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7A01-4677-8B3A-D7F194B1C95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7A01-4677-8B3A-D7F194B1C955}"/>
              </c:ext>
            </c:extLst>
          </c:dPt>
          <c:dLbls>
            <c:dLbl>
              <c:idx val="0"/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A01-4677-8B3A-D7F194B1C955}"/>
                </c:ext>
              </c:extLst>
            </c:dLbl>
            <c:dLbl>
              <c:idx val="1"/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A01-4677-8B3A-D7F194B1C955}"/>
                </c:ext>
              </c:extLst>
            </c:dLbl>
            <c:dLbl>
              <c:idx val="2"/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A01-4677-8B3A-D7F194B1C955}"/>
                </c:ext>
              </c:extLst>
            </c:dLbl>
            <c:dLbl>
              <c:idx val="3"/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A01-4677-8B3A-D7F194B1C955}"/>
                </c:ext>
              </c:extLst>
            </c:dLbl>
            <c:dLbl>
              <c:idx val="4"/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A01-4677-8B3A-D7F194B1C9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'[1]Funding Mix'!$A$4:$A$8</c:f>
              <c:strCache>
                <c:ptCount val="5"/>
                <c:pt idx="0">
                  <c:v>Personal Savings (£)</c:v>
                </c:pt>
                <c:pt idx="1">
                  <c:v>Start-Up Loan Amount (£)</c:v>
                </c:pt>
                <c:pt idx="2">
                  <c:v>Other Source of Funding (1)</c:v>
                </c:pt>
                <c:pt idx="3">
                  <c:v>Crowdfunding/Grant (£)</c:v>
                </c:pt>
                <c:pt idx="4">
                  <c:v>Other Source of Funding (2)</c:v>
                </c:pt>
              </c:strCache>
            </c:strRef>
          </c:cat>
          <c:val>
            <c:numRef>
              <c:f>'[1]Funding Mix'!$B$4:$B$8</c:f>
              <c:numCache>
                <c:formatCode>\£#,##0.00;[Red]"-£"#,##0.00</c:formatCode>
                <c:ptCount val="5"/>
                <c:pt idx="0">
                  <c:v>20000</c:v>
                </c:pt>
                <c:pt idx="1">
                  <c:v>30000</c:v>
                </c:pt>
                <c:pt idx="2">
                  <c:v>40000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A01-4677-8B3A-D7F194B1C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Revenue vs Operating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'[1]P&amp;L_3yr'!$B$3:$D$3</c:f>
              <c:strCache>
                <c:ptCount val="3"/>
                <c:pt idx="0">
                  <c:v>Year 1 (£)</c:v>
                </c:pt>
                <c:pt idx="1">
                  <c:v>Year 2 (£)</c:v>
                </c:pt>
                <c:pt idx="2">
                  <c:v>Year 3 (£)</c:v>
                </c:pt>
              </c:strCache>
            </c:strRef>
          </c:cat>
          <c:val>
            <c:numRef>
              <c:f>'[1]P&amp;L_3yr'!$B$4:$D$4</c:f>
              <c:numCache>
                <c:formatCode>\£#,##0.00;[Red]"-£"#,##0.00</c:formatCode>
                <c:ptCount val="3"/>
                <c:pt idx="0">
                  <c:v>162000</c:v>
                </c:pt>
                <c:pt idx="1">
                  <c:v>202500</c:v>
                </c:pt>
                <c:pt idx="2">
                  <c:v>253125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978-4EC0-AA39-CF3EA4FAF9A7}"/>
            </c:ext>
          </c:extLst>
        </c:ser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'[1]P&amp;L_3yr'!$B$3:$D$3</c:f>
              <c:strCache>
                <c:ptCount val="3"/>
                <c:pt idx="0">
                  <c:v>Year 1 (£)</c:v>
                </c:pt>
                <c:pt idx="1">
                  <c:v>Year 2 (£)</c:v>
                </c:pt>
                <c:pt idx="2">
                  <c:v>Year 3 (£)</c:v>
                </c:pt>
              </c:strCache>
            </c:strRef>
          </c:cat>
          <c:val>
            <c:numRef>
              <c:f>'[1]P&amp;L_3yr'!$B$7:$D$7</c:f>
              <c:numCache>
                <c:formatCode>\£#,##0.00;[Red]"-£"#,##0.00</c:formatCode>
                <c:ptCount val="3"/>
                <c:pt idx="0">
                  <c:v>99600</c:v>
                </c:pt>
                <c:pt idx="1">
                  <c:v>104580</c:v>
                </c:pt>
                <c:pt idx="2">
                  <c:v>109809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978-4EC0-AA39-CF3EA4FAF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lt1">
                  <a:lumMod val="95000"/>
                  <a:alpha val="54000"/>
                </a:schemeClr>
              </a:solidFill>
              <a:prstDash val="dash"/>
            </a:ln>
            <a:effectLst/>
          </c:spPr>
        </c:hiLowLines>
        <c:smooth val="0"/>
        <c:axId val="82043111"/>
        <c:axId val="57630864"/>
      </c:lineChart>
      <c:catAx>
        <c:axId val="820431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30864"/>
        <c:crosses val="autoZero"/>
        <c:auto val="1"/>
        <c:lblAlgn val="ctr"/>
        <c:lblOffset val="100"/>
        <c:noMultiLvlLbl val="0"/>
      </c:catAx>
      <c:valAx>
        <c:axId val="5763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£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£#,##0.00;[Red]&quot;-£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43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Net Profit After Tax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'[1]P&amp;L_3yr'!$B$3:$D$3</c:f>
              <c:strCache>
                <c:ptCount val="3"/>
                <c:pt idx="0">
                  <c:v>Year 1 (£)</c:v>
                </c:pt>
                <c:pt idx="1">
                  <c:v>Year 2 (£)</c:v>
                </c:pt>
                <c:pt idx="2">
                  <c:v>Year 3 (£)</c:v>
                </c:pt>
              </c:strCache>
            </c:strRef>
          </c:cat>
          <c:val>
            <c:numRef>
              <c:f>'[1]P&amp;L_3yr'!$B$12:$D$12</c:f>
              <c:numCache>
                <c:formatCode>\£#,##0.00;[Red]"-£"#,##0.00</c:formatCode>
                <c:ptCount val="3"/>
                <c:pt idx="0">
                  <c:v>-2400</c:v>
                </c:pt>
                <c:pt idx="1">
                  <c:v>13705.2</c:v>
                </c:pt>
                <c:pt idx="2">
                  <c:v>34073.46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B9-4175-A3A2-9B021BBFE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8326846"/>
        <c:axId val="76010902"/>
      </c:barChart>
      <c:catAx>
        <c:axId val="832684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10902"/>
        <c:crosses val="autoZero"/>
        <c:auto val="1"/>
        <c:lblAlgn val="ctr"/>
        <c:lblOffset val="100"/>
        <c:noMultiLvlLbl val="0"/>
      </c:catAx>
      <c:valAx>
        <c:axId val="7601090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£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£#,##0.00;[Red]&quot;-£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684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Cash Balance Over 36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[1]CashFlow_36m!$B$3:$AL$3</c:f>
              <c:strCache>
                <c:ptCount val="37"/>
                <c:pt idx="0">
                  <c:v>M0 (Pre-Launch)</c:v>
                </c:pt>
                <c:pt idx="1">
                  <c:v>M1</c:v>
                </c:pt>
                <c:pt idx="2">
                  <c:v>M2</c:v>
                </c:pt>
                <c:pt idx="3">
                  <c:v>M3</c:v>
                </c:pt>
                <c:pt idx="4">
                  <c:v>M4</c:v>
                </c:pt>
                <c:pt idx="5">
                  <c:v>M5</c:v>
                </c:pt>
                <c:pt idx="6">
                  <c:v>M6</c:v>
                </c:pt>
                <c:pt idx="7">
                  <c:v>M7</c:v>
                </c:pt>
                <c:pt idx="8">
                  <c:v>M8</c:v>
                </c:pt>
                <c:pt idx="9">
                  <c:v>M9</c:v>
                </c:pt>
                <c:pt idx="10">
                  <c:v>M10</c:v>
                </c:pt>
                <c:pt idx="11">
                  <c:v>M11</c:v>
                </c:pt>
                <c:pt idx="12">
                  <c:v>M12</c:v>
                </c:pt>
                <c:pt idx="13">
                  <c:v>M13</c:v>
                </c:pt>
                <c:pt idx="14">
                  <c:v>M14</c:v>
                </c:pt>
                <c:pt idx="15">
                  <c:v>M15</c:v>
                </c:pt>
                <c:pt idx="16">
                  <c:v>M16</c:v>
                </c:pt>
                <c:pt idx="17">
                  <c:v>M17</c:v>
                </c:pt>
                <c:pt idx="18">
                  <c:v>M18</c:v>
                </c:pt>
                <c:pt idx="19">
                  <c:v>M19</c:v>
                </c:pt>
                <c:pt idx="20">
                  <c:v>M20</c:v>
                </c:pt>
                <c:pt idx="21">
                  <c:v>M21</c:v>
                </c:pt>
                <c:pt idx="22">
                  <c:v>M22</c:v>
                </c:pt>
                <c:pt idx="23">
                  <c:v>M23</c:v>
                </c:pt>
                <c:pt idx="24">
                  <c:v>M24</c:v>
                </c:pt>
                <c:pt idx="25">
                  <c:v>M25</c:v>
                </c:pt>
                <c:pt idx="26">
                  <c:v>M26</c:v>
                </c:pt>
                <c:pt idx="27">
                  <c:v>M27</c:v>
                </c:pt>
                <c:pt idx="28">
                  <c:v>M28</c:v>
                </c:pt>
                <c:pt idx="29">
                  <c:v>M29</c:v>
                </c:pt>
                <c:pt idx="30">
                  <c:v>M30</c:v>
                </c:pt>
                <c:pt idx="31">
                  <c:v>M31</c:v>
                </c:pt>
                <c:pt idx="32">
                  <c:v>M32</c:v>
                </c:pt>
                <c:pt idx="33">
                  <c:v>M33</c:v>
                </c:pt>
                <c:pt idx="34">
                  <c:v>M34</c:v>
                </c:pt>
                <c:pt idx="35">
                  <c:v>M35</c:v>
                </c:pt>
                <c:pt idx="36">
                  <c:v>M36</c:v>
                </c:pt>
              </c:strCache>
            </c:strRef>
          </c:cat>
          <c:val>
            <c:numRef>
              <c:f>[1]CashFlow_36m!$B$14:$AL$14</c:f>
              <c:numCache>
                <c:formatCode>\£#,##0.00;[Red]"-£"#,##0.00</c:formatCode>
                <c:ptCount val="37"/>
                <c:pt idx="0">
                  <c:v>20000</c:v>
                </c:pt>
                <c:pt idx="1">
                  <c:v>18859.909036157074</c:v>
                </c:pt>
                <c:pt idx="2">
                  <c:v>17719.818072314149</c:v>
                </c:pt>
                <c:pt idx="3">
                  <c:v>16579.727108471223</c:v>
                </c:pt>
                <c:pt idx="4">
                  <c:v>15439.636144628297</c:v>
                </c:pt>
                <c:pt idx="5">
                  <c:v>14299.545180785371</c:v>
                </c:pt>
                <c:pt idx="6">
                  <c:v>13159.454216942446</c:v>
                </c:pt>
                <c:pt idx="7">
                  <c:v>12019.36325309952</c:v>
                </c:pt>
                <c:pt idx="8">
                  <c:v>10879.272289256594</c:v>
                </c:pt>
                <c:pt idx="9">
                  <c:v>9739.1813254136687</c:v>
                </c:pt>
                <c:pt idx="10">
                  <c:v>8599.090361570743</c:v>
                </c:pt>
                <c:pt idx="11">
                  <c:v>7458.9993977278173</c:v>
                </c:pt>
                <c:pt idx="12">
                  <c:v>6318.9084338848916</c:v>
                </c:pt>
                <c:pt idx="13">
                  <c:v>6788.8174700419659</c:v>
                </c:pt>
                <c:pt idx="14">
                  <c:v>7258.7265061990402</c:v>
                </c:pt>
                <c:pt idx="15">
                  <c:v>7728.6355423561145</c:v>
                </c:pt>
                <c:pt idx="16">
                  <c:v>8198.5445785131888</c:v>
                </c:pt>
                <c:pt idx="17">
                  <c:v>8668.4536146702631</c:v>
                </c:pt>
                <c:pt idx="18">
                  <c:v>9138.3626508273373</c:v>
                </c:pt>
                <c:pt idx="19">
                  <c:v>9608.2716869844116</c:v>
                </c:pt>
                <c:pt idx="20">
                  <c:v>10078.180723141486</c:v>
                </c:pt>
                <c:pt idx="21">
                  <c:v>10548.08975929856</c:v>
                </c:pt>
                <c:pt idx="22">
                  <c:v>11017.998795455635</c:v>
                </c:pt>
                <c:pt idx="23">
                  <c:v>11487.907831612709</c:v>
                </c:pt>
                <c:pt idx="24">
                  <c:v>8743.0168677697839</c:v>
                </c:pt>
                <c:pt idx="25">
                  <c:v>11308.425903926858</c:v>
                </c:pt>
                <c:pt idx="26">
                  <c:v>13873.834940083932</c:v>
                </c:pt>
                <c:pt idx="27">
                  <c:v>16439.243976241007</c:v>
                </c:pt>
                <c:pt idx="28">
                  <c:v>19004.653012398081</c:v>
                </c:pt>
                <c:pt idx="29">
                  <c:v>21570.062048555155</c:v>
                </c:pt>
                <c:pt idx="30">
                  <c:v>24135.47108471223</c:v>
                </c:pt>
                <c:pt idx="31">
                  <c:v>26700.880120869304</c:v>
                </c:pt>
                <c:pt idx="32">
                  <c:v>29266.289157026378</c:v>
                </c:pt>
                <c:pt idx="33">
                  <c:v>31831.698193183453</c:v>
                </c:pt>
                <c:pt idx="34">
                  <c:v>34397.10722934053</c:v>
                </c:pt>
                <c:pt idx="35">
                  <c:v>36962.516265497601</c:v>
                </c:pt>
                <c:pt idx="36">
                  <c:v>31535.385301654675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81A-435C-A7B1-09229292B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lt1">
                  <a:lumMod val="50000"/>
                </a:schemeClr>
              </a:solidFill>
              <a:round/>
            </a:ln>
            <a:effectLst/>
          </c:spPr>
        </c:hiLowLines>
        <c:smooth val="0"/>
        <c:axId val="73447001"/>
        <c:axId val="55008648"/>
      </c:lineChart>
      <c:catAx>
        <c:axId val="7344700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08648"/>
        <c:crosses val="autoZero"/>
        <c:auto val="1"/>
        <c:lblAlgn val="ctr"/>
        <c:lblOffset val="100"/>
        <c:noMultiLvlLbl val="0"/>
      </c:catAx>
      <c:valAx>
        <c:axId val="550086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£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£#,##0.00;[Red]&quot;-£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4700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Y3 Net Profit After Tax by Scenario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'[1]Scenario Analysis'!$I$4</c:f>
              <c:strCache>
                <c:ptCount val="1"/>
                <c:pt idx="0">
                  <c:v>Y3 NPAT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'[1]Scenario Analysis'!$A$5:$A$7</c:f>
              <c:strCache>
                <c:ptCount val="3"/>
                <c:pt idx="0">
                  <c:v>Best</c:v>
                </c:pt>
                <c:pt idx="1">
                  <c:v>Base</c:v>
                </c:pt>
                <c:pt idx="2">
                  <c:v>Worst</c:v>
                </c:pt>
              </c:strCache>
            </c:strRef>
          </c:cat>
          <c:val>
            <c:numRef>
              <c:f>'[1]Scenario Analysis'!$I$5:$I$7</c:f>
              <c:numCache>
                <c:formatCode>\£#,##0.00;[Red]"-£"#,##0.00</c:formatCode>
                <c:ptCount val="3"/>
                <c:pt idx="0">
                  <c:v>67803.382012319751</c:v>
                </c:pt>
                <c:pt idx="1">
                  <c:v>33689.511112319771</c:v>
                </c:pt>
                <c:pt idx="2">
                  <c:v>-7157.5252876802233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15-424A-BFD8-F08AFD5C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9108127"/>
        <c:axId val="3786101"/>
      </c:barChart>
      <c:catAx>
        <c:axId val="2910812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6101"/>
        <c:crosses val="autoZero"/>
        <c:auto val="1"/>
        <c:lblAlgn val="ctr"/>
        <c:lblOffset val="100"/>
        <c:noMultiLvlLbl val="0"/>
      </c:catAx>
      <c:valAx>
        <c:axId val="378610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£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£#,##0.00;[Red]&quot;-£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0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195203</xdr:colOff>
      <xdr:row>0</xdr:row>
      <xdr:rowOff>172782</xdr:rowOff>
    </xdr:from>
    <xdr:to>
      <xdr:col>38</xdr:col>
      <xdr:colOff>-1</xdr:colOff>
      <xdr:row>17</xdr:row>
      <xdr:rowOff>415492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8D6373-0835-1C10-1D39-2548316CBA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790965</xdr:colOff>
      <xdr:row>2</xdr:row>
      <xdr:rowOff>33420</xdr:rowOff>
    </xdr:from>
    <xdr:to>
      <xdr:col>18</xdr:col>
      <xdr:colOff>735264</xdr:colOff>
      <xdr:row>17</xdr:row>
      <xdr:rowOff>1013771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D461EA-41D7-4FF2-A91B-2CCA39012E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102054</xdr:colOff>
      <xdr:row>27</xdr:row>
      <xdr:rowOff>158749</xdr:rowOff>
    </xdr:from>
    <xdr:to>
      <xdr:col>6</xdr:col>
      <xdr:colOff>1224643</xdr:colOff>
      <xdr:row>55</xdr:row>
      <xdr:rowOff>68034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D785BE4-A724-4970-9654-AF0D038524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566964</xdr:colOff>
      <xdr:row>31</xdr:row>
      <xdr:rowOff>45357</xdr:rowOff>
    </xdr:from>
    <xdr:to>
      <xdr:col>18</xdr:col>
      <xdr:colOff>317500</xdr:colOff>
      <xdr:row>55</xdr:row>
      <xdr:rowOff>136071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A80B0BF-8032-427B-820A-2FC701CAF1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340179</xdr:colOff>
      <xdr:row>1</xdr:row>
      <xdr:rowOff>22679</xdr:rowOff>
    </xdr:from>
    <xdr:to>
      <xdr:col>29</xdr:col>
      <xdr:colOff>362857</xdr:colOff>
      <xdr:row>15</xdr:row>
      <xdr:rowOff>328840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73581DD-65A9-49A1-8213-D9752EA74C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430893</xdr:colOff>
      <xdr:row>10</xdr:row>
      <xdr:rowOff>90714</xdr:rowOff>
    </xdr:from>
    <xdr:to>
      <xdr:col>19</xdr:col>
      <xdr:colOff>291305</xdr:colOff>
      <xdr:row>27</xdr:row>
      <xdr:rowOff>151448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2BC9607-7967-49D3-BC5B-0ABC60C66A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361293</xdr:colOff>
      <xdr:row>24</xdr:row>
      <xdr:rowOff>153275</xdr:rowOff>
    </xdr:from>
    <xdr:to>
      <xdr:col>5</xdr:col>
      <xdr:colOff>2145863</xdr:colOff>
      <xdr:row>50</xdr:row>
      <xdr:rowOff>120430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CD686AC-D493-412F-A122-52288DF2FC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Warrgyizmorsch\UKS60305\Cake_Crumb_Co_UK_Resit_Financial_Model_FINAL_EDITABLE.xlsx" TargetMode="External"/><Relationship Id="rId1" Type="http://schemas.openxmlformats.org/officeDocument/2006/relationships/externalLinkPath" Target="Cake_Crumb_Co_UK_Resit_Financial_Model_FINAL_EDITA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sumptions"/>
      <sheetName val="Startup Costs &amp; Use of Funds"/>
      <sheetName val="CashFlow_36m"/>
      <sheetName val="Funding Mix"/>
      <sheetName val="P&amp;L_3yr"/>
      <sheetName val="Break-Even"/>
      <sheetName val="KPIs_ByYear"/>
      <sheetName val="Dashboard"/>
      <sheetName val="Scenario Analysis"/>
    </sheetNames>
    <sheetDataSet>
      <sheetData sheetId="0">
        <row r="33">
          <cell r="A33" t="str">
            <v>Start-Up Loan Amount (£)</v>
          </cell>
          <cell r="C33" t="str">
            <v>Three-year start-up loan for equipment, premises and launch infrastructure.</v>
          </cell>
        </row>
        <row r="37">
          <cell r="A37" t="str">
            <v>Personal Savings (£)</v>
          </cell>
          <cell r="C37" t="str">
            <v>Founder capital demonstrating commitment and reducing external finance reliance.</v>
          </cell>
        </row>
        <row r="38">
          <cell r="A38" t="str">
            <v>Crowdfunding/Grant (£)</v>
          </cell>
          <cell r="C38" t="str">
            <v>No grant/crowdfunding assumed; treated as upside rather than required funding.</v>
          </cell>
        </row>
        <row r="39">
          <cell r="A39" t="str">
            <v>Other Source of Funding (1)</v>
          </cell>
          <cell r="C39" t="str">
            <v>Angel equity funding providing growth capital without scheduled principal repayment.</v>
          </cell>
        </row>
        <row r="40">
          <cell r="A40" t="str">
            <v>Other Source of Funding (2)</v>
          </cell>
          <cell r="C40" t="str">
            <v>No additional funding assumed in base case.</v>
          </cell>
        </row>
      </sheetData>
      <sheetData sheetId="1"/>
      <sheetData sheetId="2">
        <row r="3">
          <cell r="B3" t="str">
            <v>M0 (Pre-Launch)</v>
          </cell>
          <cell r="C3" t="str">
            <v>M1</v>
          </cell>
          <cell r="D3" t="str">
            <v>M2</v>
          </cell>
          <cell r="E3" t="str">
            <v>M3</v>
          </cell>
          <cell r="F3" t="str">
            <v>M4</v>
          </cell>
          <cell r="G3" t="str">
            <v>M5</v>
          </cell>
          <cell r="H3" t="str">
            <v>M6</v>
          </cell>
          <cell r="I3" t="str">
            <v>M7</v>
          </cell>
          <cell r="J3" t="str">
            <v>M8</v>
          </cell>
          <cell r="K3" t="str">
            <v>M9</v>
          </cell>
          <cell r="L3" t="str">
            <v>M10</v>
          </cell>
          <cell r="M3" t="str">
            <v>M11</v>
          </cell>
          <cell r="N3" t="str">
            <v>M12</v>
          </cell>
          <cell r="O3" t="str">
            <v>M13</v>
          </cell>
          <cell r="P3" t="str">
            <v>M14</v>
          </cell>
          <cell r="Q3" t="str">
            <v>M15</v>
          </cell>
          <cell r="R3" t="str">
            <v>M16</v>
          </cell>
          <cell r="S3" t="str">
            <v>M17</v>
          </cell>
          <cell r="T3" t="str">
            <v>M18</v>
          </cell>
          <cell r="U3" t="str">
            <v>M19</v>
          </cell>
          <cell r="V3" t="str">
            <v>M20</v>
          </cell>
          <cell r="W3" t="str">
            <v>M21</v>
          </cell>
          <cell r="X3" t="str">
            <v>M22</v>
          </cell>
          <cell r="Y3" t="str">
            <v>M23</v>
          </cell>
          <cell r="Z3" t="str">
            <v>M24</v>
          </cell>
          <cell r="AA3" t="str">
            <v>M25</v>
          </cell>
          <cell r="AB3" t="str">
            <v>M26</v>
          </cell>
          <cell r="AC3" t="str">
            <v>M27</v>
          </cell>
          <cell r="AD3" t="str">
            <v>M28</v>
          </cell>
          <cell r="AE3" t="str">
            <v>M29</v>
          </cell>
          <cell r="AF3" t="str">
            <v>M30</v>
          </cell>
          <cell r="AG3" t="str">
            <v>M31</v>
          </cell>
          <cell r="AH3" t="str">
            <v>M32</v>
          </cell>
          <cell r="AI3" t="str">
            <v>M33</v>
          </cell>
          <cell r="AJ3" t="str">
            <v>M34</v>
          </cell>
          <cell r="AK3" t="str">
            <v>M35</v>
          </cell>
          <cell r="AL3" t="str">
            <v>M36</v>
          </cell>
        </row>
        <row r="14">
          <cell r="B14">
            <v>20000</v>
          </cell>
          <cell r="C14">
            <v>18859.909036157074</v>
          </cell>
          <cell r="D14">
            <v>17719.818072314149</v>
          </cell>
          <cell r="E14">
            <v>16579.727108471223</v>
          </cell>
          <cell r="F14">
            <v>15439.636144628297</v>
          </cell>
          <cell r="G14">
            <v>14299.545180785371</v>
          </cell>
          <cell r="H14">
            <v>13159.454216942446</v>
          </cell>
          <cell r="I14">
            <v>12019.36325309952</v>
          </cell>
          <cell r="J14">
            <v>10879.272289256594</v>
          </cell>
          <cell r="K14">
            <v>9739.1813254136687</v>
          </cell>
          <cell r="L14">
            <v>8599.090361570743</v>
          </cell>
          <cell r="M14">
            <v>7458.9993977278173</v>
          </cell>
          <cell r="N14">
            <v>6318.9084338848916</v>
          </cell>
          <cell r="O14">
            <v>6788.8174700419659</v>
          </cell>
          <cell r="P14">
            <v>7258.7265061990402</v>
          </cell>
          <cell r="Q14">
            <v>7728.6355423561145</v>
          </cell>
          <cell r="R14">
            <v>8198.5445785131888</v>
          </cell>
          <cell r="S14">
            <v>8668.4536146702631</v>
          </cell>
          <cell r="T14">
            <v>9138.3626508273373</v>
          </cell>
          <cell r="U14">
            <v>9608.2716869844116</v>
          </cell>
          <cell r="V14">
            <v>10078.180723141486</v>
          </cell>
          <cell r="W14">
            <v>10548.08975929856</v>
          </cell>
          <cell r="X14">
            <v>11017.998795455635</v>
          </cell>
          <cell r="Y14">
            <v>11487.907831612709</v>
          </cell>
          <cell r="Z14">
            <v>8743.0168677697839</v>
          </cell>
          <cell r="AA14">
            <v>11308.425903926858</v>
          </cell>
          <cell r="AB14">
            <v>13873.834940083932</v>
          </cell>
          <cell r="AC14">
            <v>16439.243976241007</v>
          </cell>
          <cell r="AD14">
            <v>19004.653012398081</v>
          </cell>
          <cell r="AE14">
            <v>21570.062048555155</v>
          </cell>
          <cell r="AF14">
            <v>24135.47108471223</v>
          </cell>
          <cell r="AG14">
            <v>26700.880120869304</v>
          </cell>
          <cell r="AH14">
            <v>29266.289157026378</v>
          </cell>
          <cell r="AI14">
            <v>31831.698193183453</v>
          </cell>
          <cell r="AJ14">
            <v>34397.10722934053</v>
          </cell>
          <cell r="AK14">
            <v>36962.516265497601</v>
          </cell>
          <cell r="AL14">
            <v>31535.385301654675</v>
          </cell>
        </row>
      </sheetData>
      <sheetData sheetId="3">
        <row r="3">
          <cell r="B3" t="str">
            <v>Amount (£)</v>
          </cell>
        </row>
        <row r="4">
          <cell r="A4" t="str">
            <v>Personal Savings (£)</v>
          </cell>
          <cell r="B4">
            <v>20000</v>
          </cell>
        </row>
        <row r="5">
          <cell r="A5" t="str">
            <v>Start-Up Loan Amount (£)</v>
          </cell>
          <cell r="B5">
            <v>30000</v>
          </cell>
        </row>
        <row r="6">
          <cell r="A6" t="str">
            <v>Other Source of Funding (1)</v>
          </cell>
          <cell r="B6">
            <v>40000</v>
          </cell>
        </row>
        <row r="7">
          <cell r="A7" t="str">
            <v>Crowdfunding/Grant (£)</v>
          </cell>
          <cell r="B7">
            <v>0</v>
          </cell>
        </row>
        <row r="8">
          <cell r="A8" t="str">
            <v>Other Source of Funding (2)</v>
          </cell>
          <cell r="B8">
            <v>0</v>
          </cell>
        </row>
      </sheetData>
      <sheetData sheetId="4">
        <row r="3">
          <cell r="B3" t="str">
            <v>Year 1 (£)</v>
          </cell>
          <cell r="C3" t="str">
            <v>Year 2 (£)</v>
          </cell>
          <cell r="D3" t="str">
            <v>Year 3 (£)</v>
          </cell>
        </row>
        <row r="4">
          <cell r="B4">
            <v>162000</v>
          </cell>
          <cell r="C4">
            <v>202500</v>
          </cell>
          <cell r="D4">
            <v>253125</v>
          </cell>
        </row>
        <row r="7">
          <cell r="B7">
            <v>99600</v>
          </cell>
          <cell r="C7">
            <v>104580</v>
          </cell>
          <cell r="D7">
            <v>109809</v>
          </cell>
        </row>
        <row r="12">
          <cell r="B12">
            <v>-2400</v>
          </cell>
          <cell r="C12">
            <v>13705.2</v>
          </cell>
          <cell r="D12">
            <v>34073.46</v>
          </cell>
        </row>
      </sheetData>
      <sheetData sheetId="5">
        <row r="4">
          <cell r="E4">
            <v>0</v>
          </cell>
          <cell r="F4">
            <v>0</v>
          </cell>
          <cell r="J4">
            <v>99600</v>
          </cell>
        </row>
        <row r="5">
          <cell r="E5">
            <v>100</v>
          </cell>
          <cell r="F5">
            <v>4500</v>
          </cell>
          <cell r="J5">
            <v>101400</v>
          </cell>
        </row>
        <row r="6">
          <cell r="E6">
            <v>200</v>
          </cell>
          <cell r="F6">
            <v>9000</v>
          </cell>
          <cell r="J6">
            <v>103200</v>
          </cell>
        </row>
        <row r="7">
          <cell r="E7">
            <v>300</v>
          </cell>
          <cell r="F7">
            <v>13500</v>
          </cell>
          <cell r="J7">
            <v>105000</v>
          </cell>
        </row>
        <row r="8">
          <cell r="E8">
            <v>400</v>
          </cell>
          <cell r="F8">
            <v>18000</v>
          </cell>
          <cell r="J8">
            <v>106800</v>
          </cell>
        </row>
        <row r="9">
          <cell r="E9">
            <v>500</v>
          </cell>
          <cell r="F9">
            <v>22500</v>
          </cell>
          <cell r="J9">
            <v>108600</v>
          </cell>
        </row>
        <row r="10">
          <cell r="E10">
            <v>600</v>
          </cell>
          <cell r="F10">
            <v>27000</v>
          </cell>
          <cell r="J10">
            <v>110400</v>
          </cell>
        </row>
        <row r="11">
          <cell r="E11">
            <v>700</v>
          </cell>
          <cell r="F11">
            <v>31500</v>
          </cell>
          <cell r="J11">
            <v>112200</v>
          </cell>
        </row>
        <row r="12">
          <cell r="E12">
            <v>800</v>
          </cell>
          <cell r="F12">
            <v>36000</v>
          </cell>
          <cell r="J12">
            <v>114000</v>
          </cell>
        </row>
        <row r="13">
          <cell r="E13">
            <v>900</v>
          </cell>
          <cell r="F13">
            <v>40500</v>
          </cell>
          <cell r="J13">
            <v>115800</v>
          </cell>
        </row>
        <row r="14">
          <cell r="E14">
            <v>1000</v>
          </cell>
          <cell r="F14">
            <v>45000</v>
          </cell>
          <cell r="J14">
            <v>117600</v>
          </cell>
        </row>
        <row r="15">
          <cell r="E15">
            <v>1100</v>
          </cell>
          <cell r="F15">
            <v>49500</v>
          </cell>
          <cell r="J15">
            <v>119400</v>
          </cell>
        </row>
        <row r="16">
          <cell r="E16">
            <v>1200</v>
          </cell>
          <cell r="F16">
            <v>54000</v>
          </cell>
          <cell r="J16">
            <v>121200</v>
          </cell>
        </row>
        <row r="17">
          <cell r="E17">
            <v>1300</v>
          </cell>
          <cell r="F17">
            <v>58500</v>
          </cell>
          <cell r="J17">
            <v>123000</v>
          </cell>
        </row>
        <row r="18">
          <cell r="E18">
            <v>1400</v>
          </cell>
          <cell r="F18">
            <v>63000</v>
          </cell>
          <cell r="J18">
            <v>124800</v>
          </cell>
        </row>
        <row r="19">
          <cell r="E19">
            <v>1500</v>
          </cell>
          <cell r="F19">
            <v>67500</v>
          </cell>
          <cell r="J19">
            <v>126600</v>
          </cell>
        </row>
        <row r="20">
          <cell r="E20">
            <v>1600</v>
          </cell>
          <cell r="F20">
            <v>72000</v>
          </cell>
          <cell r="J20">
            <v>128400</v>
          </cell>
        </row>
        <row r="21">
          <cell r="E21">
            <v>1700</v>
          </cell>
          <cell r="F21">
            <v>76500</v>
          </cell>
          <cell r="J21">
            <v>130200</v>
          </cell>
        </row>
        <row r="22">
          <cell r="E22">
            <v>1800</v>
          </cell>
          <cell r="F22">
            <v>81000</v>
          </cell>
          <cell r="J22">
            <v>132000</v>
          </cell>
        </row>
        <row r="23">
          <cell r="E23">
            <v>1900</v>
          </cell>
          <cell r="F23">
            <v>85500</v>
          </cell>
          <cell r="J23">
            <v>133800</v>
          </cell>
        </row>
        <row r="24">
          <cell r="E24">
            <v>2000</v>
          </cell>
          <cell r="F24">
            <v>90000</v>
          </cell>
          <cell r="J24">
            <v>135600</v>
          </cell>
        </row>
        <row r="25">
          <cell r="E25">
            <v>2100</v>
          </cell>
          <cell r="F25">
            <v>94500</v>
          </cell>
          <cell r="J25">
            <v>137400</v>
          </cell>
        </row>
        <row r="26">
          <cell r="E26">
            <v>2200</v>
          </cell>
          <cell r="F26">
            <v>99000</v>
          </cell>
          <cell r="J26">
            <v>139200</v>
          </cell>
        </row>
        <row r="27">
          <cell r="E27">
            <v>2300</v>
          </cell>
          <cell r="F27">
            <v>103500</v>
          </cell>
          <cell r="J27">
            <v>141000</v>
          </cell>
        </row>
        <row r="28">
          <cell r="E28">
            <v>2400</v>
          </cell>
          <cell r="F28">
            <v>108000</v>
          </cell>
          <cell r="J28">
            <v>142800</v>
          </cell>
        </row>
        <row r="29">
          <cell r="E29">
            <v>2500</v>
          </cell>
          <cell r="F29">
            <v>112500</v>
          </cell>
          <cell r="J29">
            <v>144600</v>
          </cell>
        </row>
        <row r="30">
          <cell r="E30">
            <v>2600</v>
          </cell>
          <cell r="F30">
            <v>117000</v>
          </cell>
          <cell r="J30">
            <v>146400</v>
          </cell>
        </row>
        <row r="31">
          <cell r="E31">
            <v>2700</v>
          </cell>
          <cell r="F31">
            <v>121500</v>
          </cell>
          <cell r="J31">
            <v>148200</v>
          </cell>
        </row>
        <row r="32">
          <cell r="E32">
            <v>2800</v>
          </cell>
          <cell r="F32">
            <v>126000</v>
          </cell>
          <cell r="J32">
            <v>150000</v>
          </cell>
        </row>
        <row r="33">
          <cell r="E33">
            <v>2900</v>
          </cell>
          <cell r="F33">
            <v>130500</v>
          </cell>
          <cell r="J33">
            <v>151800</v>
          </cell>
        </row>
        <row r="34">
          <cell r="E34">
            <v>3000</v>
          </cell>
          <cell r="F34">
            <v>135000</v>
          </cell>
          <cell r="J34">
            <v>153600</v>
          </cell>
        </row>
        <row r="35">
          <cell r="E35">
            <v>3100</v>
          </cell>
          <cell r="F35">
            <v>139500</v>
          </cell>
          <cell r="J35">
            <v>155400</v>
          </cell>
        </row>
        <row r="36">
          <cell r="E36">
            <v>3200</v>
          </cell>
          <cell r="F36">
            <v>144000</v>
          </cell>
          <cell r="J36">
            <v>157200</v>
          </cell>
        </row>
        <row r="37">
          <cell r="E37">
            <v>3300</v>
          </cell>
          <cell r="F37">
            <v>148500</v>
          </cell>
          <cell r="J37">
            <v>159000</v>
          </cell>
        </row>
        <row r="38">
          <cell r="E38">
            <v>3400</v>
          </cell>
          <cell r="F38">
            <v>153000</v>
          </cell>
          <cell r="J38">
            <v>160800</v>
          </cell>
        </row>
        <row r="39">
          <cell r="E39">
            <v>3500</v>
          </cell>
          <cell r="F39">
            <v>157500</v>
          </cell>
          <cell r="J39">
            <v>162600</v>
          </cell>
        </row>
        <row r="40">
          <cell r="E40">
            <v>3600</v>
          </cell>
          <cell r="F40">
            <v>162000</v>
          </cell>
          <cell r="J40">
            <v>164400</v>
          </cell>
        </row>
        <row r="41">
          <cell r="E41">
            <v>3700</v>
          </cell>
          <cell r="F41">
            <v>166500</v>
          </cell>
          <cell r="J41">
            <v>166200</v>
          </cell>
        </row>
        <row r="42">
          <cell r="E42">
            <v>3800</v>
          </cell>
          <cell r="F42">
            <v>171000</v>
          </cell>
          <cell r="J42">
            <v>168000</v>
          </cell>
        </row>
        <row r="43">
          <cell r="E43">
            <v>3900</v>
          </cell>
          <cell r="F43">
            <v>175500</v>
          </cell>
          <cell r="J43">
            <v>169800</v>
          </cell>
        </row>
        <row r="44">
          <cell r="E44">
            <v>4000</v>
          </cell>
          <cell r="F44">
            <v>180000</v>
          </cell>
          <cell r="J44">
            <v>171600</v>
          </cell>
        </row>
        <row r="45">
          <cell r="E45">
            <v>4100</v>
          </cell>
          <cell r="F45">
            <v>184500</v>
          </cell>
          <cell r="J45">
            <v>173400</v>
          </cell>
        </row>
        <row r="46">
          <cell r="E46">
            <v>4200</v>
          </cell>
          <cell r="F46">
            <v>189000</v>
          </cell>
          <cell r="J46">
            <v>175200</v>
          </cell>
        </row>
        <row r="47">
          <cell r="E47">
            <v>4300</v>
          </cell>
          <cell r="F47">
            <v>193500</v>
          </cell>
          <cell r="J47">
            <v>177000</v>
          </cell>
        </row>
        <row r="48">
          <cell r="E48">
            <v>4400</v>
          </cell>
          <cell r="F48">
            <v>198000</v>
          </cell>
          <cell r="J48">
            <v>178800</v>
          </cell>
        </row>
        <row r="49">
          <cell r="E49">
            <v>4500</v>
          </cell>
          <cell r="F49">
            <v>202500</v>
          </cell>
          <cell r="J49">
            <v>180600</v>
          </cell>
        </row>
        <row r="50">
          <cell r="E50">
            <v>4600</v>
          </cell>
          <cell r="F50">
            <v>207000</v>
          </cell>
          <cell r="J50">
            <v>182400</v>
          </cell>
        </row>
        <row r="51">
          <cell r="E51">
            <v>4700</v>
          </cell>
          <cell r="F51">
            <v>211500</v>
          </cell>
          <cell r="J51">
            <v>184200</v>
          </cell>
        </row>
        <row r="52">
          <cell r="E52">
            <v>4800</v>
          </cell>
          <cell r="F52">
            <v>216000</v>
          </cell>
          <cell r="J52">
            <v>186000</v>
          </cell>
        </row>
        <row r="53">
          <cell r="E53">
            <v>4900</v>
          </cell>
          <cell r="F53">
            <v>220500</v>
          </cell>
          <cell r="J53">
            <v>187800</v>
          </cell>
        </row>
        <row r="54">
          <cell r="E54">
            <v>5000</v>
          </cell>
          <cell r="F54">
            <v>225000</v>
          </cell>
          <cell r="J54">
            <v>189600</v>
          </cell>
        </row>
      </sheetData>
      <sheetData sheetId="6"/>
      <sheetData sheetId="7"/>
      <sheetData sheetId="8">
        <row r="4">
          <cell r="I4" t="str">
            <v>Y3 NPAT</v>
          </cell>
        </row>
        <row r="5">
          <cell r="A5" t="str">
            <v>Best</v>
          </cell>
          <cell r="I5">
            <v>67803.382012319751</v>
          </cell>
        </row>
        <row r="6">
          <cell r="A6" t="str">
            <v>Base</v>
          </cell>
          <cell r="I6">
            <v>33689.511112319771</v>
          </cell>
        </row>
        <row r="7">
          <cell r="A7" t="str">
            <v>Worst</v>
          </cell>
          <cell r="I7">
            <v>-7157.5252876802233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48B31-A60D-4606-B1E6-E818B1AAF0F1}">
  <dimension ref="A1:D53"/>
  <sheetViews>
    <sheetView topLeftCell="A11" workbookViewId="0">
      <selection activeCell="B23" sqref="B23"/>
    </sheetView>
  </sheetViews>
  <sheetFormatPr defaultColWidth="8.6328125" defaultRowHeight="14.5" x14ac:dyDescent="0.35"/>
  <cols>
    <col min="1" max="4" width="42" customWidth="1"/>
  </cols>
  <sheetData>
    <row r="1" spans="1:4" ht="18" customHeight="1" x14ac:dyDescent="0.35">
      <c r="A1" s="5" t="s">
        <v>194</v>
      </c>
      <c r="B1" s="5"/>
      <c r="C1" s="5"/>
      <c r="D1" s="5"/>
    </row>
    <row r="2" spans="1:4" ht="14.25" customHeight="1" x14ac:dyDescent="0.35">
      <c r="A2" s="4"/>
      <c r="B2" s="4"/>
      <c r="C2" s="4"/>
      <c r="D2" s="4"/>
    </row>
    <row r="3" spans="1:4" ht="14.25" customHeight="1" x14ac:dyDescent="0.35">
      <c r="A3" s="6" t="s">
        <v>0</v>
      </c>
      <c r="B3" s="4"/>
      <c r="C3" s="4"/>
      <c r="D3" s="4"/>
    </row>
    <row r="4" spans="1:4" ht="14.25" customHeight="1" x14ac:dyDescent="0.35">
      <c r="A4" s="7" t="s">
        <v>1</v>
      </c>
      <c r="B4" s="7" t="s">
        <v>2</v>
      </c>
      <c r="C4" s="4"/>
      <c r="D4" s="4"/>
    </row>
    <row r="5" spans="1:4" ht="14.25" customHeight="1" x14ac:dyDescent="0.35">
      <c r="A5" s="8" t="s">
        <v>3</v>
      </c>
      <c r="B5" s="9" t="s">
        <v>195</v>
      </c>
      <c r="C5" s="4"/>
      <c r="D5" s="4"/>
    </row>
    <row r="6" spans="1:4" ht="27.75" customHeight="1" x14ac:dyDescent="0.35">
      <c r="A6" s="8" t="s">
        <v>4</v>
      </c>
      <c r="B6" s="9" t="s">
        <v>196</v>
      </c>
      <c r="C6" s="4"/>
      <c r="D6" s="4"/>
    </row>
    <row r="7" spans="1:4" ht="14.25" customHeight="1" x14ac:dyDescent="0.35">
      <c r="A7" s="8" t="s">
        <v>5</v>
      </c>
      <c r="B7" s="9" t="s">
        <v>6</v>
      </c>
      <c r="C7" s="4"/>
      <c r="D7" s="4"/>
    </row>
    <row r="8" spans="1:4" ht="14.25" customHeight="1" x14ac:dyDescent="0.35">
      <c r="A8" s="4"/>
      <c r="B8" s="4"/>
      <c r="C8" s="4"/>
      <c r="D8" s="4"/>
    </row>
    <row r="9" spans="1:4" ht="14.25" customHeight="1" x14ac:dyDescent="0.35">
      <c r="A9" s="6" t="s">
        <v>7</v>
      </c>
      <c r="B9" s="4"/>
      <c r="C9" s="4"/>
      <c r="D9" s="4"/>
    </row>
    <row r="10" spans="1:4" ht="14.25" customHeight="1" x14ac:dyDescent="0.35">
      <c r="A10" s="7" t="s">
        <v>1</v>
      </c>
      <c r="B10" s="7" t="s">
        <v>2</v>
      </c>
      <c r="C10" s="4"/>
      <c r="D10" s="4"/>
    </row>
    <row r="11" spans="1:4" ht="27.75" customHeight="1" x14ac:dyDescent="0.35">
      <c r="A11" s="8" t="s">
        <v>8</v>
      </c>
      <c r="B11" s="10">
        <v>45</v>
      </c>
      <c r="C11" s="4" t="s">
        <v>197</v>
      </c>
      <c r="D11" s="4" t="s">
        <v>9</v>
      </c>
    </row>
    <row r="12" spans="1:4" ht="41.25" customHeight="1" x14ac:dyDescent="0.35">
      <c r="A12" s="8" t="s">
        <v>10</v>
      </c>
      <c r="B12" s="11">
        <v>300</v>
      </c>
      <c r="C12" s="4" t="s">
        <v>198</v>
      </c>
      <c r="D12" s="4" t="s">
        <v>11</v>
      </c>
    </row>
    <row r="13" spans="1:4" ht="41.25" customHeight="1" x14ac:dyDescent="0.35">
      <c r="A13" s="8" t="s">
        <v>12</v>
      </c>
      <c r="B13" s="12">
        <v>0.25</v>
      </c>
      <c r="C13" s="4" t="s">
        <v>199</v>
      </c>
      <c r="D13" s="4" t="s">
        <v>13</v>
      </c>
    </row>
    <row r="14" spans="1:4" ht="41.25" customHeight="1" x14ac:dyDescent="0.35">
      <c r="A14" s="8" t="s">
        <v>14</v>
      </c>
      <c r="B14" s="12">
        <v>0.25</v>
      </c>
      <c r="C14" s="4" t="s">
        <v>200</v>
      </c>
      <c r="D14" s="4" t="s">
        <v>15</v>
      </c>
    </row>
    <row r="15" spans="1:4" ht="14.25" customHeight="1" x14ac:dyDescent="0.35">
      <c r="A15" s="4"/>
      <c r="B15" s="4"/>
      <c r="C15" s="4"/>
      <c r="D15" s="4"/>
    </row>
    <row r="16" spans="1:4" ht="14.25" customHeight="1" x14ac:dyDescent="0.35">
      <c r="A16" s="6" t="s">
        <v>16</v>
      </c>
      <c r="B16" s="4"/>
      <c r="C16" s="4"/>
      <c r="D16" s="4"/>
    </row>
    <row r="17" spans="1:4" ht="14.25" customHeight="1" x14ac:dyDescent="0.35">
      <c r="A17" s="7" t="s">
        <v>1</v>
      </c>
      <c r="B17" s="7" t="s">
        <v>2</v>
      </c>
      <c r="C17" s="4"/>
      <c r="D17" s="4"/>
    </row>
    <row r="18" spans="1:4" ht="41.25" customHeight="1" x14ac:dyDescent="0.35">
      <c r="A18" s="8" t="s">
        <v>17</v>
      </c>
      <c r="B18" s="12">
        <v>0.4</v>
      </c>
      <c r="C18" s="4" t="s">
        <v>201</v>
      </c>
      <c r="D18" s="4" t="s">
        <v>18</v>
      </c>
    </row>
    <row r="19" spans="1:4" ht="14.25" customHeight="1" x14ac:dyDescent="0.35">
      <c r="A19" s="4"/>
      <c r="B19" s="4"/>
      <c r="C19" s="4"/>
      <c r="D19" s="4"/>
    </row>
    <row r="20" spans="1:4" ht="14.25" customHeight="1" x14ac:dyDescent="0.35">
      <c r="A20" s="6" t="s">
        <v>19</v>
      </c>
      <c r="B20" s="4"/>
      <c r="C20" s="4"/>
      <c r="D20" s="4"/>
    </row>
    <row r="21" spans="1:4" ht="14.25" customHeight="1" x14ac:dyDescent="0.35">
      <c r="A21" s="7" t="s">
        <v>1</v>
      </c>
      <c r="B21" s="7" t="s">
        <v>2</v>
      </c>
      <c r="C21" s="4"/>
      <c r="D21" s="4"/>
    </row>
    <row r="22" spans="1:4" ht="27.75" customHeight="1" x14ac:dyDescent="0.35">
      <c r="A22" s="8" t="s">
        <v>20</v>
      </c>
      <c r="B22" s="10">
        <v>2000</v>
      </c>
      <c r="C22" s="4" t="s">
        <v>202</v>
      </c>
      <c r="D22" s="4"/>
    </row>
    <row r="23" spans="1:4" ht="27.75" customHeight="1" x14ac:dyDescent="0.35">
      <c r="A23" s="8" t="s">
        <v>21</v>
      </c>
      <c r="B23" s="10">
        <v>400</v>
      </c>
      <c r="C23" s="4" t="s">
        <v>203</v>
      </c>
      <c r="D23" s="4"/>
    </row>
    <row r="24" spans="1:4" ht="27.75" customHeight="1" x14ac:dyDescent="0.35">
      <c r="A24" s="8" t="s">
        <v>22</v>
      </c>
      <c r="B24" s="10">
        <v>4500</v>
      </c>
      <c r="C24" s="4" t="s">
        <v>204</v>
      </c>
      <c r="D24" s="4"/>
    </row>
    <row r="25" spans="1:4" ht="14.25" customHeight="1" x14ac:dyDescent="0.35">
      <c r="A25" s="8" t="s">
        <v>23</v>
      </c>
      <c r="B25" s="10">
        <v>1000</v>
      </c>
      <c r="C25" s="4" t="s">
        <v>205</v>
      </c>
      <c r="D25" s="4"/>
    </row>
    <row r="26" spans="1:4" ht="14.25" customHeight="1" x14ac:dyDescent="0.35">
      <c r="A26" s="8" t="s">
        <v>24</v>
      </c>
      <c r="B26" s="10">
        <v>200</v>
      </c>
      <c r="C26" s="4" t="s">
        <v>206</v>
      </c>
      <c r="D26" s="4"/>
    </row>
    <row r="27" spans="1:4" ht="14.25" customHeight="1" x14ac:dyDescent="0.35">
      <c r="A27" s="8" t="s">
        <v>25</v>
      </c>
      <c r="B27" s="10">
        <v>200</v>
      </c>
      <c r="C27" s="4" t="s">
        <v>207</v>
      </c>
      <c r="D27" s="4"/>
    </row>
    <row r="28" spans="1:4" ht="27.75" customHeight="1" x14ac:dyDescent="0.35">
      <c r="A28" s="8" t="s">
        <v>26</v>
      </c>
      <c r="B28" s="12">
        <v>0.05</v>
      </c>
      <c r="C28" s="4" t="s">
        <v>208</v>
      </c>
      <c r="D28" s="4" t="s">
        <v>27</v>
      </c>
    </row>
    <row r="29" spans="1:4" ht="27.75" customHeight="1" x14ac:dyDescent="0.35">
      <c r="A29" s="8" t="s">
        <v>28</v>
      </c>
      <c r="B29" s="12">
        <v>0.05</v>
      </c>
      <c r="C29" s="4" t="s">
        <v>208</v>
      </c>
      <c r="D29" s="4" t="s">
        <v>27</v>
      </c>
    </row>
    <row r="30" spans="1:4" ht="14.25" customHeight="1" x14ac:dyDescent="0.35">
      <c r="A30" s="4"/>
      <c r="B30" s="4"/>
      <c r="C30" s="4"/>
      <c r="D30" s="4"/>
    </row>
    <row r="31" spans="1:4" ht="14.25" customHeight="1" x14ac:dyDescent="0.35">
      <c r="A31" s="6" t="s">
        <v>29</v>
      </c>
      <c r="B31" s="4"/>
      <c r="C31" s="4"/>
      <c r="D31" s="4"/>
    </row>
    <row r="32" spans="1:4" ht="14.25" customHeight="1" x14ac:dyDescent="0.35">
      <c r="A32" s="7" t="s">
        <v>1</v>
      </c>
      <c r="B32" s="7" t="s">
        <v>2</v>
      </c>
      <c r="C32" s="13" t="s">
        <v>30</v>
      </c>
      <c r="D32" s="13" t="s">
        <v>31</v>
      </c>
    </row>
    <row r="33" spans="1:4" ht="28.5" customHeight="1" x14ac:dyDescent="0.35">
      <c r="A33" s="8" t="s">
        <v>32</v>
      </c>
      <c r="B33" s="10">
        <v>30000</v>
      </c>
      <c r="C33" s="14" t="s">
        <v>209</v>
      </c>
      <c r="D33" s="4" t="s">
        <v>210</v>
      </c>
    </row>
    <row r="34" spans="1:4" ht="28.5" customHeight="1" x14ac:dyDescent="0.35">
      <c r="A34" s="8" t="s">
        <v>33</v>
      </c>
      <c r="B34" s="12">
        <v>0.08</v>
      </c>
      <c r="C34" s="15"/>
      <c r="D34" s="4" t="s">
        <v>211</v>
      </c>
    </row>
    <row r="35" spans="1:4" ht="28.5" customHeight="1" x14ac:dyDescent="0.35">
      <c r="A35" s="8" t="s">
        <v>34</v>
      </c>
      <c r="B35" s="16">
        <v>3</v>
      </c>
      <c r="C35" s="17"/>
      <c r="D35" s="4" t="s">
        <v>212</v>
      </c>
    </row>
    <row r="36" spans="1:4" ht="28.5" customHeight="1" x14ac:dyDescent="0.35">
      <c r="A36" s="8" t="s">
        <v>35</v>
      </c>
      <c r="B36" s="16">
        <v>1</v>
      </c>
      <c r="C36" s="18"/>
      <c r="D36" s="4" t="s">
        <v>213</v>
      </c>
    </row>
    <row r="37" spans="1:4" ht="28.5" customHeight="1" x14ac:dyDescent="0.35">
      <c r="A37" s="8" t="s">
        <v>36</v>
      </c>
      <c r="B37" s="10">
        <v>20000</v>
      </c>
      <c r="C37" s="14" t="s">
        <v>214</v>
      </c>
      <c r="D37" s="4" t="s">
        <v>215</v>
      </c>
    </row>
    <row r="38" spans="1:4" ht="28.5" customHeight="1" x14ac:dyDescent="0.35">
      <c r="A38" s="8" t="s">
        <v>37</v>
      </c>
      <c r="B38" s="10">
        <v>0</v>
      </c>
      <c r="C38" s="14" t="s">
        <v>216</v>
      </c>
      <c r="D38" s="4" t="s">
        <v>217</v>
      </c>
    </row>
    <row r="39" spans="1:4" ht="28.5" customHeight="1" x14ac:dyDescent="0.35">
      <c r="A39" s="8" t="s">
        <v>38</v>
      </c>
      <c r="B39" s="10">
        <v>40000</v>
      </c>
      <c r="C39" s="14" t="s">
        <v>39</v>
      </c>
      <c r="D39" s="4" t="s">
        <v>218</v>
      </c>
    </row>
    <row r="40" spans="1:4" ht="28.5" customHeight="1" x14ac:dyDescent="0.35">
      <c r="A40" s="8" t="s">
        <v>40</v>
      </c>
      <c r="B40" s="10">
        <v>0</v>
      </c>
      <c r="C40" s="14" t="s">
        <v>219</v>
      </c>
      <c r="D40" s="4" t="s">
        <v>220</v>
      </c>
    </row>
    <row r="41" spans="1:4" ht="14.25" customHeight="1" x14ac:dyDescent="0.35">
      <c r="A41" s="4"/>
      <c r="B41" s="4"/>
      <c r="C41" s="4"/>
      <c r="D41" s="4"/>
    </row>
    <row r="42" spans="1:4" ht="14.25" customHeight="1" x14ac:dyDescent="0.35">
      <c r="A42" s="6" t="s">
        <v>41</v>
      </c>
      <c r="B42" s="4"/>
      <c r="C42" s="4"/>
      <c r="D42" s="4"/>
    </row>
    <row r="43" spans="1:4" ht="14.25" customHeight="1" x14ac:dyDescent="0.35">
      <c r="A43" s="7" t="s">
        <v>1</v>
      </c>
      <c r="B43" s="7" t="s">
        <v>2</v>
      </c>
      <c r="C43" s="4"/>
      <c r="D43" s="4"/>
    </row>
    <row r="44" spans="1:4" ht="27.75" customHeight="1" x14ac:dyDescent="0.35">
      <c r="A44" s="8" t="s">
        <v>42</v>
      </c>
      <c r="B44" s="12">
        <v>0.19</v>
      </c>
      <c r="C44" s="4" t="s">
        <v>221</v>
      </c>
      <c r="D44" s="4"/>
    </row>
    <row r="45" spans="1:4" ht="27.75" customHeight="1" x14ac:dyDescent="0.35">
      <c r="A45" s="8" t="s">
        <v>43</v>
      </c>
      <c r="B45" s="12">
        <v>0.7</v>
      </c>
      <c r="C45" s="4" t="s">
        <v>222</v>
      </c>
      <c r="D45" s="4"/>
    </row>
    <row r="46" spans="1:4" ht="27.75" customHeight="1" x14ac:dyDescent="0.35">
      <c r="A46" s="8" t="s">
        <v>44</v>
      </c>
      <c r="B46" s="10">
        <v>540</v>
      </c>
      <c r="C46" s="4" t="s">
        <v>223</v>
      </c>
      <c r="D46" s="4"/>
    </row>
    <row r="47" spans="1:4" ht="27.75" customHeight="1" x14ac:dyDescent="0.35">
      <c r="A47" s="8" t="s">
        <v>45</v>
      </c>
      <c r="B47" s="10">
        <v>216</v>
      </c>
      <c r="C47" s="4" t="s">
        <v>224</v>
      </c>
      <c r="D47" s="4"/>
    </row>
    <row r="48" spans="1:4" ht="27.75" customHeight="1" x14ac:dyDescent="0.35">
      <c r="A48" s="8" t="s">
        <v>46</v>
      </c>
      <c r="B48" s="19">
        <v>360</v>
      </c>
      <c r="C48" s="4" t="s">
        <v>225</v>
      </c>
      <c r="D48" s="4"/>
    </row>
    <row r="49" spans="1:4" ht="27.75" customHeight="1" x14ac:dyDescent="0.35">
      <c r="A49" s="8" t="s">
        <v>47</v>
      </c>
      <c r="B49" s="10">
        <v>14400</v>
      </c>
      <c r="C49" s="4" t="s">
        <v>226</v>
      </c>
      <c r="D49" s="4"/>
    </row>
    <row r="50" spans="1:4" ht="14.25" customHeight="1" x14ac:dyDescent="0.35">
      <c r="A50" s="4"/>
      <c r="B50" s="4"/>
      <c r="C50" s="4"/>
      <c r="D50" s="4"/>
    </row>
    <row r="51" spans="1:4" ht="14.25" customHeight="1" x14ac:dyDescent="0.35">
      <c r="A51" s="6"/>
      <c r="B51" s="4"/>
      <c r="C51" s="4"/>
      <c r="D51" s="4"/>
    </row>
    <row r="52" spans="1:4" ht="14.25" customHeight="1" x14ac:dyDescent="0.35">
      <c r="A52" s="20"/>
      <c r="B52" s="4"/>
      <c r="C52" s="4"/>
      <c r="D52" s="4"/>
    </row>
    <row r="53" spans="1:4" ht="43.5" customHeight="1" x14ac:dyDescent="0.35">
      <c r="A53" s="2" t="s">
        <v>48</v>
      </c>
      <c r="B53" s="3" t="s">
        <v>227</v>
      </c>
      <c r="C53" s="3" t="s">
        <v>228</v>
      </c>
      <c r="D53" s="3" t="s">
        <v>229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660B2-9E1D-43B9-B8F2-55FA9EE90B39}">
  <dimension ref="A1:C16"/>
  <sheetViews>
    <sheetView workbookViewId="0">
      <selection activeCell="B14" sqref="B14"/>
    </sheetView>
  </sheetViews>
  <sheetFormatPr defaultColWidth="44.36328125" defaultRowHeight="14.25" customHeight="1" x14ac:dyDescent="0.3"/>
  <cols>
    <col min="1" max="16384" width="44.36328125" style="26"/>
  </cols>
  <sheetData>
    <row r="1" spans="1:3" ht="17.5" x14ac:dyDescent="0.3">
      <c r="A1" s="25" t="s">
        <v>49</v>
      </c>
      <c r="B1" s="25"/>
      <c r="C1" s="25"/>
    </row>
    <row r="2" spans="1:3" ht="14" x14ac:dyDescent="0.3">
      <c r="A2" s="27"/>
      <c r="B2" s="27"/>
      <c r="C2" s="27"/>
    </row>
    <row r="3" spans="1:3" ht="14" x14ac:dyDescent="0.3">
      <c r="A3" s="28" t="s">
        <v>50</v>
      </c>
      <c r="B3" s="28" t="s">
        <v>51</v>
      </c>
      <c r="C3" s="28" t="s">
        <v>52</v>
      </c>
    </row>
    <row r="4" spans="1:3" ht="28" x14ac:dyDescent="0.3">
      <c r="A4" s="29" t="s">
        <v>230</v>
      </c>
      <c r="B4" s="30">
        <v>18000</v>
      </c>
      <c r="C4" s="29" t="s">
        <v>231</v>
      </c>
    </row>
    <row r="5" spans="1:3" ht="28" x14ac:dyDescent="0.3">
      <c r="A5" s="29" t="s">
        <v>232</v>
      </c>
      <c r="B5" s="30">
        <v>12000</v>
      </c>
      <c r="C5" s="29" t="s">
        <v>233</v>
      </c>
    </row>
    <row r="6" spans="1:3" ht="28" x14ac:dyDescent="0.3">
      <c r="A6" s="29" t="s">
        <v>234</v>
      </c>
      <c r="B6" s="30">
        <v>7000</v>
      </c>
      <c r="C6" s="29" t="s">
        <v>235</v>
      </c>
    </row>
    <row r="7" spans="1:3" ht="28" x14ac:dyDescent="0.3">
      <c r="A7" s="29" t="s">
        <v>236</v>
      </c>
      <c r="B7" s="30">
        <v>4000</v>
      </c>
      <c r="C7" s="29" t="s">
        <v>237</v>
      </c>
    </row>
    <row r="8" spans="1:3" ht="28" x14ac:dyDescent="0.3">
      <c r="A8" s="29" t="s">
        <v>238</v>
      </c>
      <c r="B8" s="30">
        <v>7000</v>
      </c>
      <c r="C8" s="29" t="s">
        <v>239</v>
      </c>
    </row>
    <row r="9" spans="1:3" ht="28" x14ac:dyDescent="0.3">
      <c r="A9" s="29" t="s">
        <v>53</v>
      </c>
      <c r="B9" s="30">
        <v>20000</v>
      </c>
      <c r="C9" s="29" t="s">
        <v>240</v>
      </c>
    </row>
    <row r="10" spans="1:3" ht="14" x14ac:dyDescent="0.3">
      <c r="A10" s="29" t="s">
        <v>241</v>
      </c>
      <c r="B10" s="30">
        <v>4000</v>
      </c>
      <c r="C10" s="29" t="s">
        <v>242</v>
      </c>
    </row>
    <row r="11" spans="1:3" ht="28" x14ac:dyDescent="0.3">
      <c r="A11" s="29" t="s">
        <v>243</v>
      </c>
      <c r="B11" s="30">
        <v>8000</v>
      </c>
      <c r="C11" s="29" t="s">
        <v>244</v>
      </c>
    </row>
    <row r="12" spans="1:3" ht="14" x14ac:dyDescent="0.3">
      <c r="A12" s="29" t="s">
        <v>245</v>
      </c>
      <c r="B12" s="30">
        <v>8000</v>
      </c>
      <c r="C12" s="29" t="s">
        <v>246</v>
      </c>
    </row>
    <row r="13" spans="1:3" ht="14" x14ac:dyDescent="0.3">
      <c r="A13" s="29" t="s">
        <v>247</v>
      </c>
      <c r="B13" s="30">
        <v>2000</v>
      </c>
      <c r="C13" s="29" t="s">
        <v>248</v>
      </c>
    </row>
    <row r="14" spans="1:3" ht="14" x14ac:dyDescent="0.3">
      <c r="A14" s="29" t="s">
        <v>249</v>
      </c>
      <c r="B14" s="30">
        <v>0</v>
      </c>
      <c r="C14" s="29" t="s">
        <v>54</v>
      </c>
    </row>
    <row r="15" spans="1:3" ht="14" x14ac:dyDescent="0.3">
      <c r="A15" s="28" t="s">
        <v>55</v>
      </c>
      <c r="B15" s="31">
        <f>SUM(B4:B14)</f>
        <v>90000</v>
      </c>
      <c r="C15" s="28"/>
    </row>
    <row r="16" spans="1:3" ht="14" x14ac:dyDescent="0.3">
      <c r="A16" s="27"/>
      <c r="B16" s="32"/>
      <c r="C16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C287B-BAA3-4222-B1E2-AA6CFCB7E258}">
  <dimension ref="A1:AL47"/>
  <sheetViews>
    <sheetView topLeftCell="AA1" workbookViewId="0">
      <selection activeCell="B8" sqref="B8"/>
    </sheetView>
  </sheetViews>
  <sheetFormatPr defaultColWidth="8.6328125" defaultRowHeight="14.5" x14ac:dyDescent="0.35"/>
  <cols>
    <col min="1" max="1" width="42" style="1" customWidth="1"/>
    <col min="2" max="38" width="12" style="1" customWidth="1"/>
    <col min="39" max="16384" width="8.6328125" style="1"/>
  </cols>
  <sheetData>
    <row r="1" spans="1:38" ht="18" customHeight="1" x14ac:dyDescent="0.35">
      <c r="A1" s="5" t="s">
        <v>250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ht="14.25" customHeight="1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1:38" ht="18" customHeight="1" x14ac:dyDescent="0.35">
      <c r="A3" s="7" t="s">
        <v>56</v>
      </c>
      <c r="B3" s="7" t="s">
        <v>57</v>
      </c>
      <c r="C3" s="7" t="s">
        <v>58</v>
      </c>
      <c r="D3" s="7" t="s">
        <v>59</v>
      </c>
      <c r="E3" s="7" t="s">
        <v>60</v>
      </c>
      <c r="F3" s="7" t="s">
        <v>61</v>
      </c>
      <c r="G3" s="7" t="s">
        <v>62</v>
      </c>
      <c r="H3" s="7" t="s">
        <v>63</v>
      </c>
      <c r="I3" s="7" t="s">
        <v>64</v>
      </c>
      <c r="J3" s="7" t="s">
        <v>65</v>
      </c>
      <c r="K3" s="7" t="s">
        <v>66</v>
      </c>
      <c r="L3" s="7" t="s">
        <v>67</v>
      </c>
      <c r="M3" s="7" t="s">
        <v>68</v>
      </c>
      <c r="N3" s="7" t="s">
        <v>69</v>
      </c>
      <c r="O3" s="7" t="s">
        <v>70</v>
      </c>
      <c r="P3" s="7" t="s">
        <v>71</v>
      </c>
      <c r="Q3" s="7" t="s">
        <v>72</v>
      </c>
      <c r="R3" s="7" t="s">
        <v>73</v>
      </c>
      <c r="S3" s="7" t="s">
        <v>74</v>
      </c>
      <c r="T3" s="7" t="s">
        <v>75</v>
      </c>
      <c r="U3" s="7" t="s">
        <v>76</v>
      </c>
      <c r="V3" s="7" t="s">
        <v>77</v>
      </c>
      <c r="W3" s="7" t="s">
        <v>78</v>
      </c>
      <c r="X3" s="7" t="s">
        <v>79</v>
      </c>
      <c r="Y3" s="7" t="s">
        <v>80</v>
      </c>
      <c r="Z3" s="7" t="s">
        <v>81</v>
      </c>
      <c r="AA3" s="7" t="s">
        <v>82</v>
      </c>
      <c r="AB3" s="7" t="s">
        <v>83</v>
      </c>
      <c r="AC3" s="7" t="s">
        <v>84</v>
      </c>
      <c r="AD3" s="7" t="s">
        <v>85</v>
      </c>
      <c r="AE3" s="7" t="s">
        <v>86</v>
      </c>
      <c r="AF3" s="7" t="s">
        <v>87</v>
      </c>
      <c r="AG3" s="7" t="s">
        <v>88</v>
      </c>
      <c r="AH3" s="7" t="s">
        <v>89</v>
      </c>
      <c r="AI3" s="7" t="s">
        <v>90</v>
      </c>
      <c r="AJ3" s="7" t="s">
        <v>91</v>
      </c>
      <c r="AK3" s="7" t="s">
        <v>92</v>
      </c>
      <c r="AL3" s="7" t="s">
        <v>93</v>
      </c>
    </row>
    <row r="4" spans="1:38" ht="14.25" customHeight="1" x14ac:dyDescent="0.35">
      <c r="A4" s="8" t="s">
        <v>94</v>
      </c>
      <c r="B4" s="23">
        <v>0</v>
      </c>
      <c r="C4" s="23">
        <v>20000</v>
      </c>
      <c r="D4" s="23">
        <v>18859.909036157074</v>
      </c>
      <c r="E4" s="23">
        <v>17719.818072314149</v>
      </c>
      <c r="F4" s="23">
        <v>16579.727108471223</v>
      </c>
      <c r="G4" s="23">
        <v>15439.636144628297</v>
      </c>
      <c r="H4" s="23">
        <v>14299.545180785371</v>
      </c>
      <c r="I4" s="23">
        <v>13159.454216942446</v>
      </c>
      <c r="J4" s="23">
        <v>12019.36325309952</v>
      </c>
      <c r="K4" s="23">
        <v>10879.272289256594</v>
      </c>
      <c r="L4" s="23">
        <v>9739.1813254136687</v>
      </c>
      <c r="M4" s="23">
        <v>8599.090361570743</v>
      </c>
      <c r="N4" s="23">
        <v>7458.9993977278173</v>
      </c>
      <c r="O4" s="23">
        <v>6318.9084338848916</v>
      </c>
      <c r="P4" s="23">
        <v>6788.8174700419659</v>
      </c>
      <c r="Q4" s="23">
        <v>7258.7265061990402</v>
      </c>
      <c r="R4" s="23">
        <v>7728.6355423561145</v>
      </c>
      <c r="S4" s="23">
        <v>8198.5445785131888</v>
      </c>
      <c r="T4" s="23">
        <v>8668.4536146702631</v>
      </c>
      <c r="U4" s="23">
        <v>9138.3626508273373</v>
      </c>
      <c r="V4" s="23">
        <v>9608.2716869844116</v>
      </c>
      <c r="W4" s="23">
        <v>10078.180723141486</v>
      </c>
      <c r="X4" s="23">
        <v>10548.08975929856</v>
      </c>
      <c r="Y4" s="23">
        <v>11017.998795455635</v>
      </c>
      <c r="Z4" s="23">
        <v>11487.907831612709</v>
      </c>
      <c r="AA4" s="23">
        <v>8743.0168677697839</v>
      </c>
      <c r="AB4" s="23">
        <v>11308.425903926858</v>
      </c>
      <c r="AC4" s="23">
        <v>13873.834940083932</v>
      </c>
      <c r="AD4" s="23">
        <v>16439.243976241007</v>
      </c>
      <c r="AE4" s="23">
        <v>19004.653012398081</v>
      </c>
      <c r="AF4" s="23">
        <v>21570.062048555155</v>
      </c>
      <c r="AG4" s="23">
        <v>24135.47108471223</v>
      </c>
      <c r="AH4" s="23">
        <v>26700.880120869304</v>
      </c>
      <c r="AI4" s="23">
        <v>29266.289157026378</v>
      </c>
      <c r="AJ4" s="23">
        <v>31831.698193183453</v>
      </c>
      <c r="AK4" s="23">
        <v>34397.10722934053</v>
      </c>
      <c r="AL4" s="23">
        <v>36962.516265497601</v>
      </c>
    </row>
    <row r="5" spans="1:38" ht="14.25" customHeight="1" x14ac:dyDescent="0.35">
      <c r="A5" s="8" t="s">
        <v>95</v>
      </c>
      <c r="B5" s="23">
        <v>90000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  <c r="T5" s="23">
        <v>0</v>
      </c>
      <c r="U5" s="23">
        <v>0</v>
      </c>
      <c r="V5" s="23">
        <v>0</v>
      </c>
      <c r="W5" s="23">
        <v>0</v>
      </c>
      <c r="X5" s="23">
        <v>0</v>
      </c>
      <c r="Y5" s="23">
        <v>0</v>
      </c>
      <c r="Z5" s="23">
        <v>0</v>
      </c>
      <c r="AA5" s="23">
        <v>0</v>
      </c>
      <c r="AB5" s="23">
        <v>0</v>
      </c>
      <c r="AC5" s="23">
        <v>0</v>
      </c>
      <c r="AD5" s="23">
        <v>0</v>
      </c>
      <c r="AE5" s="23">
        <v>0</v>
      </c>
      <c r="AF5" s="23">
        <v>0</v>
      </c>
      <c r="AG5" s="23">
        <v>0</v>
      </c>
      <c r="AH5" s="23">
        <v>0</v>
      </c>
      <c r="AI5" s="23">
        <v>0</v>
      </c>
      <c r="AJ5" s="23">
        <v>0</v>
      </c>
      <c r="AK5" s="23">
        <v>0</v>
      </c>
      <c r="AL5" s="23">
        <v>0</v>
      </c>
    </row>
    <row r="6" spans="1:38" ht="14.25" customHeight="1" x14ac:dyDescent="0.35">
      <c r="A6" s="8" t="s">
        <v>96</v>
      </c>
      <c r="B6" s="22">
        <v>70000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0</v>
      </c>
      <c r="AJ6" s="22">
        <v>0</v>
      </c>
      <c r="AK6" s="22">
        <v>0</v>
      </c>
      <c r="AL6" s="22">
        <v>0</v>
      </c>
    </row>
    <row r="7" spans="1:38" ht="14.25" customHeight="1" x14ac:dyDescent="0.35">
      <c r="A7" s="8" t="s">
        <v>97</v>
      </c>
      <c r="B7" s="23">
        <v>0</v>
      </c>
      <c r="C7" s="23">
        <v>13500</v>
      </c>
      <c r="D7" s="23">
        <v>13500</v>
      </c>
      <c r="E7" s="23">
        <v>13500</v>
      </c>
      <c r="F7" s="23">
        <v>13500</v>
      </c>
      <c r="G7" s="23">
        <v>13500</v>
      </c>
      <c r="H7" s="23">
        <v>13500</v>
      </c>
      <c r="I7" s="23">
        <v>13500</v>
      </c>
      <c r="J7" s="23">
        <v>13500</v>
      </c>
      <c r="K7" s="23">
        <v>13500</v>
      </c>
      <c r="L7" s="23">
        <v>13500</v>
      </c>
      <c r="M7" s="23">
        <v>13500</v>
      </c>
      <c r="N7" s="23">
        <v>13500</v>
      </c>
      <c r="O7" s="23">
        <v>16875</v>
      </c>
      <c r="P7" s="23">
        <v>16875</v>
      </c>
      <c r="Q7" s="23">
        <v>16875</v>
      </c>
      <c r="R7" s="23">
        <v>16875</v>
      </c>
      <c r="S7" s="23">
        <v>16875</v>
      </c>
      <c r="T7" s="23">
        <v>16875</v>
      </c>
      <c r="U7" s="23">
        <v>16875</v>
      </c>
      <c r="V7" s="23">
        <v>16875</v>
      </c>
      <c r="W7" s="23">
        <v>16875</v>
      </c>
      <c r="X7" s="23">
        <v>16875</v>
      </c>
      <c r="Y7" s="23">
        <v>16875</v>
      </c>
      <c r="Z7" s="23">
        <v>16875</v>
      </c>
      <c r="AA7" s="23">
        <v>21093.75</v>
      </c>
      <c r="AB7" s="23">
        <v>21093.75</v>
      </c>
      <c r="AC7" s="23">
        <v>21093.75</v>
      </c>
      <c r="AD7" s="23">
        <v>21093.75</v>
      </c>
      <c r="AE7" s="23">
        <v>21093.75</v>
      </c>
      <c r="AF7" s="23">
        <v>21093.75</v>
      </c>
      <c r="AG7" s="23">
        <v>21093.75</v>
      </c>
      <c r="AH7" s="23">
        <v>21093.75</v>
      </c>
      <c r="AI7" s="23">
        <v>21093.75</v>
      </c>
      <c r="AJ7" s="23">
        <v>21093.75</v>
      </c>
      <c r="AK7" s="23">
        <v>21093.75</v>
      </c>
      <c r="AL7" s="23">
        <v>21093.75</v>
      </c>
    </row>
    <row r="8" spans="1:38" ht="14.25" customHeight="1" x14ac:dyDescent="0.35">
      <c r="A8" s="8" t="s">
        <v>98</v>
      </c>
      <c r="B8" s="23">
        <v>0</v>
      </c>
      <c r="C8" s="23">
        <v>5400</v>
      </c>
      <c r="D8" s="23">
        <v>5400</v>
      </c>
      <c r="E8" s="23">
        <v>5400</v>
      </c>
      <c r="F8" s="23">
        <v>5400</v>
      </c>
      <c r="G8" s="23">
        <v>5400</v>
      </c>
      <c r="H8" s="23">
        <v>5400</v>
      </c>
      <c r="I8" s="23">
        <v>5400</v>
      </c>
      <c r="J8" s="23">
        <v>5400</v>
      </c>
      <c r="K8" s="23">
        <v>5400</v>
      </c>
      <c r="L8" s="23">
        <v>5400</v>
      </c>
      <c r="M8" s="23">
        <v>5400</v>
      </c>
      <c r="N8" s="23">
        <v>5400</v>
      </c>
      <c r="O8" s="23">
        <v>6750</v>
      </c>
      <c r="P8" s="23">
        <v>6750</v>
      </c>
      <c r="Q8" s="23">
        <v>6750</v>
      </c>
      <c r="R8" s="23">
        <v>6750</v>
      </c>
      <c r="S8" s="23">
        <v>6750</v>
      </c>
      <c r="T8" s="23">
        <v>6750</v>
      </c>
      <c r="U8" s="23">
        <v>6750</v>
      </c>
      <c r="V8" s="23">
        <v>6750</v>
      </c>
      <c r="W8" s="23">
        <v>6750</v>
      </c>
      <c r="X8" s="23">
        <v>6750</v>
      </c>
      <c r="Y8" s="23">
        <v>6750</v>
      </c>
      <c r="Z8" s="23">
        <v>6750</v>
      </c>
      <c r="AA8" s="23">
        <v>8437.5</v>
      </c>
      <c r="AB8" s="23">
        <v>8437.5</v>
      </c>
      <c r="AC8" s="23">
        <v>8437.5</v>
      </c>
      <c r="AD8" s="23">
        <v>8437.5</v>
      </c>
      <c r="AE8" s="23">
        <v>8437.5</v>
      </c>
      <c r="AF8" s="23">
        <v>8437.5</v>
      </c>
      <c r="AG8" s="23">
        <v>8437.5</v>
      </c>
      <c r="AH8" s="23">
        <v>8437.5</v>
      </c>
      <c r="AI8" s="23">
        <v>8437.5</v>
      </c>
      <c r="AJ8" s="23">
        <v>8437.5</v>
      </c>
      <c r="AK8" s="23">
        <v>8437.5</v>
      </c>
      <c r="AL8" s="23">
        <v>8437.5</v>
      </c>
    </row>
    <row r="9" spans="1:38" ht="14.25" customHeight="1" x14ac:dyDescent="0.35">
      <c r="A9" s="8" t="s">
        <v>99</v>
      </c>
      <c r="B9" s="23">
        <v>0</v>
      </c>
      <c r="C9" s="23">
        <v>8300</v>
      </c>
      <c r="D9" s="23">
        <v>8300</v>
      </c>
      <c r="E9" s="23">
        <v>8300</v>
      </c>
      <c r="F9" s="23">
        <v>8300</v>
      </c>
      <c r="G9" s="23">
        <v>8300</v>
      </c>
      <c r="H9" s="23">
        <v>8300</v>
      </c>
      <c r="I9" s="23">
        <v>8300</v>
      </c>
      <c r="J9" s="23">
        <v>8300</v>
      </c>
      <c r="K9" s="23">
        <v>8300</v>
      </c>
      <c r="L9" s="23">
        <v>8300</v>
      </c>
      <c r="M9" s="23">
        <v>8300</v>
      </c>
      <c r="N9" s="23">
        <v>8300</v>
      </c>
      <c r="O9" s="23">
        <v>8715</v>
      </c>
      <c r="P9" s="23">
        <v>8715</v>
      </c>
      <c r="Q9" s="23">
        <v>8715</v>
      </c>
      <c r="R9" s="23">
        <v>8715</v>
      </c>
      <c r="S9" s="23">
        <v>8715</v>
      </c>
      <c r="T9" s="23">
        <v>8715</v>
      </c>
      <c r="U9" s="23">
        <v>8715</v>
      </c>
      <c r="V9" s="23">
        <v>8715</v>
      </c>
      <c r="W9" s="23">
        <v>8715</v>
      </c>
      <c r="X9" s="23">
        <v>8715</v>
      </c>
      <c r="Y9" s="23">
        <v>8715</v>
      </c>
      <c r="Z9" s="23">
        <v>8715</v>
      </c>
      <c r="AA9" s="23">
        <v>9150.75</v>
      </c>
      <c r="AB9" s="23">
        <v>9150.75</v>
      </c>
      <c r="AC9" s="23">
        <v>9150.75</v>
      </c>
      <c r="AD9" s="23">
        <v>9150.75</v>
      </c>
      <c r="AE9" s="23">
        <v>9150.75</v>
      </c>
      <c r="AF9" s="23">
        <v>9150.75</v>
      </c>
      <c r="AG9" s="23">
        <v>9150.75</v>
      </c>
      <c r="AH9" s="23">
        <v>9150.75</v>
      </c>
      <c r="AI9" s="23">
        <v>9150.75</v>
      </c>
      <c r="AJ9" s="23">
        <v>9150.75</v>
      </c>
      <c r="AK9" s="23">
        <v>9150.75</v>
      </c>
      <c r="AL9" s="23">
        <v>9150.75</v>
      </c>
    </row>
    <row r="10" spans="1:38" ht="14.25" customHeight="1" x14ac:dyDescent="0.35">
      <c r="A10" s="8" t="s">
        <v>100</v>
      </c>
      <c r="B10" s="23">
        <v>0</v>
      </c>
      <c r="C10" s="23">
        <v>940.09096384292548</v>
      </c>
      <c r="D10" s="23">
        <v>940.09096384292548</v>
      </c>
      <c r="E10" s="23">
        <v>940.09096384292548</v>
      </c>
      <c r="F10" s="23">
        <v>940.09096384292548</v>
      </c>
      <c r="G10" s="23">
        <v>940.09096384292548</v>
      </c>
      <c r="H10" s="23">
        <v>940.09096384292548</v>
      </c>
      <c r="I10" s="23">
        <v>940.09096384292548</v>
      </c>
      <c r="J10" s="23">
        <v>940.09096384292548</v>
      </c>
      <c r="K10" s="23">
        <v>940.09096384292548</v>
      </c>
      <c r="L10" s="23">
        <v>940.09096384292548</v>
      </c>
      <c r="M10" s="23">
        <v>940.09096384292548</v>
      </c>
      <c r="N10" s="23">
        <v>940.09096384292548</v>
      </c>
      <c r="O10" s="23">
        <v>940.09096384292548</v>
      </c>
      <c r="P10" s="23">
        <v>940.09096384292548</v>
      </c>
      <c r="Q10" s="23">
        <v>940.09096384292548</v>
      </c>
      <c r="R10" s="23">
        <v>940.09096384292548</v>
      </c>
      <c r="S10" s="23">
        <v>940.09096384292548</v>
      </c>
      <c r="T10" s="23">
        <v>940.09096384292548</v>
      </c>
      <c r="U10" s="23">
        <v>940.09096384292548</v>
      </c>
      <c r="V10" s="23">
        <v>940.09096384292548</v>
      </c>
      <c r="W10" s="23">
        <v>940.09096384292548</v>
      </c>
      <c r="X10" s="23">
        <v>940.09096384292548</v>
      </c>
      <c r="Y10" s="23">
        <v>940.09096384292548</v>
      </c>
      <c r="Z10" s="23">
        <v>940.09096384292548</v>
      </c>
      <c r="AA10" s="23">
        <v>940.09096384292548</v>
      </c>
      <c r="AB10" s="23">
        <v>940.09096384292548</v>
      </c>
      <c r="AC10" s="23">
        <v>940.09096384292548</v>
      </c>
      <c r="AD10" s="23">
        <v>940.09096384292548</v>
      </c>
      <c r="AE10" s="23">
        <v>940.09096384292548</v>
      </c>
      <c r="AF10" s="23">
        <v>940.09096384292548</v>
      </c>
      <c r="AG10" s="23">
        <v>940.09096384292548</v>
      </c>
      <c r="AH10" s="23">
        <v>940.09096384292548</v>
      </c>
      <c r="AI10" s="23">
        <v>940.09096384292548</v>
      </c>
      <c r="AJ10" s="23">
        <v>940.09096384292548</v>
      </c>
      <c r="AK10" s="23">
        <v>940.09096384292548</v>
      </c>
      <c r="AL10" s="23">
        <v>940.09096384292548</v>
      </c>
    </row>
    <row r="11" spans="1:38" ht="14.25" customHeight="1" x14ac:dyDescent="0.35">
      <c r="A11" s="8" t="s">
        <v>101</v>
      </c>
      <c r="B11" s="23">
        <v>0</v>
      </c>
      <c r="C11" s="23">
        <v>200</v>
      </c>
      <c r="D11" s="23">
        <v>195.06606024104721</v>
      </c>
      <c r="E11" s="23">
        <v>190.09922755036797</v>
      </c>
      <c r="F11" s="23">
        <v>185.09928264175093</v>
      </c>
      <c r="G11" s="23">
        <v>180.06600476707644</v>
      </c>
      <c r="H11" s="23">
        <v>174.99917170657079</v>
      </c>
      <c r="I11" s="23">
        <v>169.89855975899511</v>
      </c>
      <c r="J11" s="23">
        <v>164.76394373176888</v>
      </c>
      <c r="K11" s="23">
        <v>159.59509693102783</v>
      </c>
      <c r="L11" s="23">
        <v>154.39179115161519</v>
      </c>
      <c r="M11" s="23">
        <v>149.15379666700645</v>
      </c>
      <c r="N11" s="23">
        <v>143.88088221916701</v>
      </c>
      <c r="O11" s="23">
        <v>138.57281500834193</v>
      </c>
      <c r="P11" s="23">
        <v>133.22936068277804</v>
      </c>
      <c r="Q11" s="23">
        <v>127.85028332837707</v>
      </c>
      <c r="R11" s="23">
        <v>122.43534545828007</v>
      </c>
      <c r="S11" s="23">
        <v>116.98430800238245</v>
      </c>
      <c r="T11" s="23">
        <v>111.49693029677881</v>
      </c>
      <c r="U11" s="23">
        <v>105.97297007313783</v>
      </c>
      <c r="V11" s="23">
        <v>100.41218344800591</v>
      </c>
      <c r="W11" s="23">
        <v>94.81432491203978</v>
      </c>
      <c r="X11" s="23">
        <v>89.179147319167214</v>
      </c>
      <c r="Y11" s="23">
        <v>83.506401875675493</v>
      </c>
      <c r="Z11" s="23">
        <v>77.79583812922715</v>
      </c>
      <c r="AA11" s="23">
        <v>72.047203957802495</v>
      </c>
      <c r="AB11" s="23">
        <v>66.260245558568357</v>
      </c>
      <c r="AC11" s="23">
        <v>60.434707436672632</v>
      </c>
      <c r="AD11" s="23">
        <v>54.570332393964279</v>
      </c>
      <c r="AE11" s="23">
        <v>48.666861517637862</v>
      </c>
      <c r="AF11" s="23">
        <v>42.724034168802611</v>
      </c>
      <c r="AG11" s="23">
        <v>36.741587970975132</v>
      </c>
      <c r="AH11" s="23">
        <v>30.719258798495463</v>
      </c>
      <c r="AI11" s="23">
        <v>24.656780764865925</v>
      </c>
      <c r="AJ11" s="23">
        <v>18.553886211012191</v>
      </c>
      <c r="AK11" s="23">
        <v>12.410305693466102</v>
      </c>
      <c r="AL11" s="23">
        <v>6.225767972469705</v>
      </c>
    </row>
    <row r="12" spans="1:38" ht="14.25" customHeight="1" x14ac:dyDescent="0.35">
      <c r="A12" s="8" t="s">
        <v>251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  <c r="V12" s="23">
        <v>0</v>
      </c>
      <c r="W12" s="23">
        <v>0</v>
      </c>
      <c r="X12" s="23">
        <v>0</v>
      </c>
      <c r="Y12" s="23">
        <v>0</v>
      </c>
      <c r="Z12" s="23">
        <v>3214.8</v>
      </c>
      <c r="AA12" s="23">
        <v>0</v>
      </c>
      <c r="AB12" s="23">
        <v>0</v>
      </c>
      <c r="AC12" s="23">
        <v>0</v>
      </c>
      <c r="AD12" s="23">
        <v>0</v>
      </c>
      <c r="AE12" s="23">
        <v>0</v>
      </c>
      <c r="AF12" s="23">
        <v>0</v>
      </c>
      <c r="AG12" s="23">
        <v>0</v>
      </c>
      <c r="AH12" s="23">
        <v>0</v>
      </c>
      <c r="AI12" s="23">
        <v>0</v>
      </c>
      <c r="AJ12" s="23">
        <v>0</v>
      </c>
      <c r="AK12" s="23">
        <v>0</v>
      </c>
      <c r="AL12" s="23">
        <v>7992.54</v>
      </c>
    </row>
    <row r="13" spans="1:38" ht="14.25" customHeight="1" x14ac:dyDescent="0.35">
      <c r="A13" s="8" t="s">
        <v>102</v>
      </c>
      <c r="B13" s="23">
        <v>20000</v>
      </c>
      <c r="C13" s="23">
        <v>-1140.0909638429255</v>
      </c>
      <c r="D13" s="23">
        <v>-1140.0909638429255</v>
      </c>
      <c r="E13" s="23">
        <v>-1140.0909638429255</v>
      </c>
      <c r="F13" s="23">
        <v>-1140.0909638429255</v>
      </c>
      <c r="G13" s="23">
        <v>-1140.0909638429255</v>
      </c>
      <c r="H13" s="23">
        <v>-1140.0909638429255</v>
      </c>
      <c r="I13" s="23">
        <v>-1140.0909638429255</v>
      </c>
      <c r="J13" s="23">
        <v>-1140.0909638429255</v>
      </c>
      <c r="K13" s="23">
        <v>-1140.0909638429255</v>
      </c>
      <c r="L13" s="23">
        <v>-1140.0909638429255</v>
      </c>
      <c r="M13" s="23">
        <v>-1140.0909638429255</v>
      </c>
      <c r="N13" s="23">
        <v>-1140.0909638429255</v>
      </c>
      <c r="O13" s="23">
        <v>469.90903615707452</v>
      </c>
      <c r="P13" s="23">
        <v>469.90903615707452</v>
      </c>
      <c r="Q13" s="23">
        <v>469.90903615707452</v>
      </c>
      <c r="R13" s="23">
        <v>469.90903615707452</v>
      </c>
      <c r="S13" s="23">
        <v>469.90903615707452</v>
      </c>
      <c r="T13" s="23">
        <v>469.90903615707452</v>
      </c>
      <c r="U13" s="23">
        <v>469.90903615707452</v>
      </c>
      <c r="V13" s="23">
        <v>469.90903615707452</v>
      </c>
      <c r="W13" s="23">
        <v>469.90903615707452</v>
      </c>
      <c r="X13" s="23">
        <v>469.90903615707452</v>
      </c>
      <c r="Y13" s="23">
        <v>469.90903615707452</v>
      </c>
      <c r="Z13" s="23">
        <v>-2744.8909638429259</v>
      </c>
      <c r="AA13" s="23">
        <v>2565.4090361570743</v>
      </c>
      <c r="AB13" s="23">
        <v>2565.4090361570743</v>
      </c>
      <c r="AC13" s="23">
        <v>2565.4090361570743</v>
      </c>
      <c r="AD13" s="23">
        <v>2565.4090361570743</v>
      </c>
      <c r="AE13" s="23">
        <v>2565.4090361570743</v>
      </c>
      <c r="AF13" s="23">
        <v>2565.4090361570743</v>
      </c>
      <c r="AG13" s="23">
        <v>2565.4090361570743</v>
      </c>
      <c r="AH13" s="23">
        <v>2565.4090361570743</v>
      </c>
      <c r="AI13" s="23">
        <v>2565.4090361570743</v>
      </c>
      <c r="AJ13" s="23">
        <v>2565.4090361570743</v>
      </c>
      <c r="AK13" s="23">
        <v>2565.4090361570743</v>
      </c>
      <c r="AL13" s="23">
        <v>-5427.1309638429257</v>
      </c>
    </row>
    <row r="14" spans="1:38" ht="14.25" customHeight="1" x14ac:dyDescent="0.35">
      <c r="A14" s="4" t="s">
        <v>103</v>
      </c>
      <c r="B14" s="33">
        <v>20000</v>
      </c>
      <c r="C14" s="33">
        <v>18859.909036157074</v>
      </c>
      <c r="D14" s="33">
        <v>17719.818072314149</v>
      </c>
      <c r="E14" s="33">
        <v>16579.727108471223</v>
      </c>
      <c r="F14" s="33">
        <v>15439.636144628297</v>
      </c>
      <c r="G14" s="33">
        <v>14299.545180785371</v>
      </c>
      <c r="H14" s="33">
        <v>13159.454216942446</v>
      </c>
      <c r="I14" s="33">
        <v>12019.36325309952</v>
      </c>
      <c r="J14" s="33">
        <v>10879.272289256594</v>
      </c>
      <c r="K14" s="33">
        <v>9739.1813254136687</v>
      </c>
      <c r="L14" s="33">
        <v>8599.090361570743</v>
      </c>
      <c r="M14" s="33">
        <v>7458.9993977278173</v>
      </c>
      <c r="N14" s="33">
        <v>6318.9084338848916</v>
      </c>
      <c r="O14" s="33">
        <v>6788.8174700419659</v>
      </c>
      <c r="P14" s="33">
        <v>7258.7265061990402</v>
      </c>
      <c r="Q14" s="33">
        <v>7728.6355423561145</v>
      </c>
      <c r="R14" s="33">
        <v>8198.5445785131888</v>
      </c>
      <c r="S14" s="33">
        <v>8668.4536146702631</v>
      </c>
      <c r="T14" s="33">
        <v>9138.3626508273373</v>
      </c>
      <c r="U14" s="33">
        <v>9608.2716869844116</v>
      </c>
      <c r="V14" s="33">
        <v>10078.180723141486</v>
      </c>
      <c r="W14" s="33">
        <v>10548.08975929856</v>
      </c>
      <c r="X14" s="33">
        <v>11017.998795455635</v>
      </c>
      <c r="Y14" s="33">
        <v>11487.907831612709</v>
      </c>
      <c r="Z14" s="33">
        <v>8743.0168677697839</v>
      </c>
      <c r="AA14" s="33">
        <v>11308.425903926858</v>
      </c>
      <c r="AB14" s="33">
        <v>13873.834940083932</v>
      </c>
      <c r="AC14" s="33">
        <v>16439.243976241007</v>
      </c>
      <c r="AD14" s="33">
        <v>19004.653012398081</v>
      </c>
      <c r="AE14" s="33">
        <v>21570.062048555155</v>
      </c>
      <c r="AF14" s="33">
        <v>24135.47108471223</v>
      </c>
      <c r="AG14" s="33">
        <v>26700.880120869304</v>
      </c>
      <c r="AH14" s="33">
        <v>29266.289157026378</v>
      </c>
      <c r="AI14" s="33">
        <v>31831.698193183453</v>
      </c>
      <c r="AJ14" s="33">
        <v>34397.10722934053</v>
      </c>
      <c r="AK14" s="33">
        <v>36962.516265497601</v>
      </c>
      <c r="AL14" s="33">
        <v>31535.385301654675</v>
      </c>
    </row>
    <row r="15" spans="1:38" ht="14.25" customHeight="1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 spans="1:38" ht="14.25" customHeight="1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spans="1:38" ht="14.25" customHeight="1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spans="1:38" ht="14.25" customHeight="1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</row>
    <row r="19" spans="1:38" ht="14.25" customHeight="1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spans="1:38" ht="14.25" customHeight="1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</row>
    <row r="21" spans="1:38" ht="14.25" customHeight="1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</row>
    <row r="22" spans="1:38" ht="14.25" customHeight="1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</row>
    <row r="23" spans="1:38" ht="14.25" customHeight="1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r="24" spans="1:38" ht="14.25" customHeight="1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 spans="1:38" ht="14.25" customHeight="1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</row>
    <row r="26" spans="1:38" ht="14.25" customHeight="1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</row>
    <row r="27" spans="1:38" ht="14.25" customHeight="1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</row>
    <row r="28" spans="1:38" ht="14.25" customHeight="1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</row>
    <row r="29" spans="1:38" ht="14.25" customHeight="1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</row>
    <row r="30" spans="1:38" ht="14.25" customHeight="1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</row>
    <row r="31" spans="1:38" ht="14.25" customHeight="1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</row>
    <row r="32" spans="1:38" ht="14.25" customHeight="1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</row>
    <row r="33" spans="1:38" ht="14.25" customHeight="1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</row>
    <row r="34" spans="1:38" ht="14.25" customHeight="1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</row>
    <row r="35" spans="1:38" ht="14.25" customHeight="1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</row>
    <row r="36" spans="1:38" ht="14.25" customHeight="1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</row>
    <row r="37" spans="1:38" ht="14.25" customHeight="1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r="38" spans="1:38" ht="14.25" customHeight="1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</row>
    <row r="39" spans="1:38" ht="14.25" customHeight="1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</row>
    <row r="40" spans="1:38" ht="14.25" customHeight="1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spans="1:38" ht="14.25" customHeight="1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 spans="1:38" ht="14.25" customHeight="1" x14ac:dyDescent="0.35">
      <c r="A42" s="6" t="s">
        <v>104</v>
      </c>
      <c r="B42" s="6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</row>
    <row r="43" spans="1:38" ht="14.25" customHeight="1" x14ac:dyDescent="0.35">
      <c r="A43" s="8" t="s">
        <v>104</v>
      </c>
      <c r="B43" s="8"/>
      <c r="C43" s="34">
        <f>IFERROR(SUM(C11:N11),0)</f>
        <v>2067.0138173663941</v>
      </c>
      <c r="D43" s="8" t="s">
        <v>106</v>
      </c>
      <c r="E43" s="34">
        <f>IFERROR(SUM(O11:Z11),0)</f>
        <v>1302.2499085341917</v>
      </c>
      <c r="F43" s="8" t="s">
        <v>107</v>
      </c>
      <c r="G43" s="34">
        <f>IFERROR(SUM(AA11:AL11),0)</f>
        <v>474.01097244473283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r="44" spans="1:38" ht="14.25" customHeight="1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</row>
    <row r="45" spans="1:38" ht="14.25" customHeight="1" x14ac:dyDescent="0.35">
      <c r="A45" s="4" t="s">
        <v>105</v>
      </c>
      <c r="B45" s="4">
        <f>SUM(C11:N11)</f>
        <v>2067.0138173663941</v>
      </c>
      <c r="C45" s="4">
        <f>SUM(O11:Z11)</f>
        <v>1302.2499085341917</v>
      </c>
      <c r="D45" s="4">
        <f>SUM(AA11:AL11)</f>
        <v>474.01097244473283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</row>
    <row r="46" spans="1:38" ht="14.25" customHeight="1" x14ac:dyDescent="0.35">
      <c r="A46" s="4" t="s">
        <v>106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</row>
    <row r="47" spans="1:38" ht="14.25" customHeight="1" x14ac:dyDescent="0.35">
      <c r="A47" s="4" t="s">
        <v>107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A72ED-F269-489E-BF00-8C0E6434E65C}">
  <dimension ref="A1:D17"/>
  <sheetViews>
    <sheetView zoomScale="53" workbookViewId="0">
      <selection activeCell="B13" sqref="B13"/>
    </sheetView>
  </sheetViews>
  <sheetFormatPr defaultColWidth="24.36328125" defaultRowHeight="14.25" customHeight="1" x14ac:dyDescent="0.35"/>
  <cols>
    <col min="1" max="1" width="42" customWidth="1"/>
    <col min="2" max="2" width="37" customWidth="1"/>
    <col min="3" max="4" width="42" customWidth="1"/>
  </cols>
  <sheetData>
    <row r="1" spans="1:4" ht="17.5" x14ac:dyDescent="0.35">
      <c r="A1" s="69" t="s">
        <v>252</v>
      </c>
      <c r="B1" s="69"/>
      <c r="C1" s="69"/>
      <c r="D1" s="69"/>
    </row>
    <row r="2" spans="1:4" ht="14.5" x14ac:dyDescent="0.35">
      <c r="A2" s="4"/>
      <c r="B2" s="4"/>
      <c r="C2" s="4"/>
      <c r="D2" s="4"/>
    </row>
    <row r="3" spans="1:4" ht="14.5" x14ac:dyDescent="0.35">
      <c r="A3" s="13" t="s">
        <v>108</v>
      </c>
      <c r="B3" s="13" t="s">
        <v>51</v>
      </c>
      <c r="C3" s="13" t="s">
        <v>109</v>
      </c>
      <c r="D3" s="13" t="s">
        <v>30</v>
      </c>
    </row>
    <row r="4" spans="1:4" ht="29" x14ac:dyDescent="0.35">
      <c r="A4" s="8" t="str">
        <f>[1]Assumptions!A37</f>
        <v>Personal Savings (£)</v>
      </c>
      <c r="B4" s="23">
        <v>20000</v>
      </c>
      <c r="C4" s="35">
        <f>IF(SUM($B$4:$B$8)&gt;0,B4/SUM($B$4:$B$8),0)</f>
        <v>0.22222222222222221</v>
      </c>
      <c r="D4" s="36" t="str">
        <f>[1]Assumptions!C37</f>
        <v>Founder capital demonstrating commitment and reducing external finance reliance.</v>
      </c>
    </row>
    <row r="5" spans="1:4" ht="29" x14ac:dyDescent="0.35">
      <c r="A5" s="34" t="str">
        <f>[1]Assumptions!A33</f>
        <v>Start-Up Loan Amount (£)</v>
      </c>
      <c r="B5" s="23">
        <v>30000</v>
      </c>
      <c r="C5" s="35">
        <f>IF(SUM($B$4:$B$8)&gt;0,B5/SUM($B$4:$B$8),0)</f>
        <v>0.33333333333333331</v>
      </c>
      <c r="D5" s="36" t="str">
        <f>[1]Assumptions!C33</f>
        <v>Three-year start-up loan for equipment, premises and launch infrastructure.</v>
      </c>
    </row>
    <row r="6" spans="1:4" ht="29" x14ac:dyDescent="0.35">
      <c r="A6" s="34" t="str">
        <f>[1]Assumptions!A39</f>
        <v>Other Source of Funding (1)</v>
      </c>
      <c r="B6" s="23">
        <v>40000</v>
      </c>
      <c r="C6" s="35">
        <f>IF(SUM($B$4:$B$8)&gt;0,B6/SUM($B$4:$B$8),0)</f>
        <v>0.44444444444444442</v>
      </c>
      <c r="D6" s="36" t="str">
        <f>[1]Assumptions!C39</f>
        <v>Angel equity funding providing growth capital without scheduled principal repayment.</v>
      </c>
    </row>
    <row r="7" spans="1:4" ht="29" x14ac:dyDescent="0.35">
      <c r="A7" s="34" t="str">
        <f>[1]Assumptions!A38</f>
        <v>Crowdfunding/Grant (£)</v>
      </c>
      <c r="B7" s="23">
        <v>0</v>
      </c>
      <c r="C7" s="35">
        <f>IF(SUM($B$4:$B$8)&gt;0,B7/SUM($B$4:$B$8),0)</f>
        <v>0</v>
      </c>
      <c r="D7" s="36" t="str">
        <f>[1]Assumptions!C38</f>
        <v>No grant/crowdfunding assumed; treated as upside rather than required funding.</v>
      </c>
    </row>
    <row r="8" spans="1:4" ht="14.5" x14ac:dyDescent="0.35">
      <c r="A8" s="34" t="str">
        <f>[1]Assumptions!A40</f>
        <v>Other Source of Funding (2)</v>
      </c>
      <c r="B8" s="23">
        <v>0</v>
      </c>
      <c r="C8" s="35">
        <f>IF(SUM($B$4:$B$8)&gt;0,B8/SUM($B$4:$B$8),0)</f>
        <v>0</v>
      </c>
      <c r="D8" s="36" t="str">
        <f>[1]Assumptions!C40</f>
        <v>No additional funding assumed in base case.</v>
      </c>
    </row>
    <row r="9" spans="1:4" ht="14.5" x14ac:dyDescent="0.35">
      <c r="A9" s="13" t="s">
        <v>110</v>
      </c>
      <c r="B9" s="23">
        <v>90000</v>
      </c>
      <c r="C9" s="13"/>
      <c r="D9" s="24"/>
    </row>
    <row r="10" spans="1:4" ht="14.5" x14ac:dyDescent="0.35">
      <c r="A10" s="4"/>
      <c r="B10" s="33"/>
      <c r="C10" s="4"/>
      <c r="D10" s="4"/>
    </row>
    <row r="11" spans="1:4" ht="14.5" x14ac:dyDescent="0.35">
      <c r="A11" s="37" t="s">
        <v>111</v>
      </c>
      <c r="B11" s="23">
        <v>90000</v>
      </c>
      <c r="C11" s="13" t="s">
        <v>112</v>
      </c>
      <c r="D11" s="8" t="str">
        <f>IF(B9=B11,"Balanced",IF(B9&lt;B11,"Funding Gap","Surplus Funding"))</f>
        <v>Balanced</v>
      </c>
    </row>
    <row r="12" spans="1:4" ht="14.5" x14ac:dyDescent="0.35">
      <c r="A12" s="21" t="s">
        <v>113</v>
      </c>
      <c r="B12" s="23">
        <f>B9-B11</f>
        <v>0</v>
      </c>
      <c r="C12" s="4"/>
      <c r="D12" s="4"/>
    </row>
    <row r="13" spans="1:4" ht="14.5" x14ac:dyDescent="0.35">
      <c r="A13" s="21"/>
      <c r="B13" s="21"/>
      <c r="C13" s="21"/>
      <c r="D13" s="21"/>
    </row>
    <row r="14" spans="1:4" ht="14.5" x14ac:dyDescent="0.35">
      <c r="A14" s="21"/>
      <c r="B14" s="21"/>
      <c r="C14" s="21"/>
      <c r="D14" s="21"/>
    </row>
    <row r="15" spans="1:4" ht="14.5" x14ac:dyDescent="0.35">
      <c r="A15" s="21"/>
      <c r="B15" s="21"/>
      <c r="C15" s="21"/>
      <c r="D15" s="21"/>
    </row>
    <row r="16" spans="1:4" ht="14.5" x14ac:dyDescent="0.35">
      <c r="A16" s="21"/>
      <c r="B16" s="21"/>
      <c r="C16" s="21"/>
      <c r="D16" s="21"/>
    </row>
    <row r="17" spans="1:4" ht="14.5" x14ac:dyDescent="0.35">
      <c r="A17" s="21"/>
      <c r="B17" s="21"/>
      <c r="C17" s="21"/>
      <c r="D17" s="21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1837E-17BD-4CE4-8FFC-0E7199C44DC8}">
  <dimension ref="A1:D12"/>
  <sheetViews>
    <sheetView workbookViewId="0">
      <selection activeCell="B4" sqref="B4:D12"/>
    </sheetView>
  </sheetViews>
  <sheetFormatPr defaultColWidth="18.26953125" defaultRowHeight="14.25" customHeight="1" x14ac:dyDescent="0.35"/>
  <cols>
    <col min="1" max="1" width="42" customWidth="1"/>
    <col min="2" max="2" width="37" customWidth="1"/>
    <col min="3" max="4" width="34" customWidth="1"/>
  </cols>
  <sheetData>
    <row r="1" spans="1:4" ht="18.5" customHeight="1" x14ac:dyDescent="0.35">
      <c r="A1" s="70" t="s">
        <v>253</v>
      </c>
      <c r="B1" s="70"/>
      <c r="C1" s="70"/>
      <c r="D1" s="70"/>
    </row>
    <row r="2" spans="1:4" ht="14.5" x14ac:dyDescent="0.35">
      <c r="A2" s="4"/>
      <c r="B2" s="4"/>
      <c r="C2" s="4"/>
      <c r="D2" s="4"/>
    </row>
    <row r="3" spans="1:4" ht="14.5" x14ac:dyDescent="0.35">
      <c r="A3" s="7" t="s">
        <v>50</v>
      </c>
      <c r="B3" s="7" t="s">
        <v>114</v>
      </c>
      <c r="C3" s="7" t="s">
        <v>115</v>
      </c>
      <c r="D3" s="7" t="s">
        <v>116</v>
      </c>
    </row>
    <row r="4" spans="1:4" ht="14.5" x14ac:dyDescent="0.35">
      <c r="A4" s="8" t="s">
        <v>97</v>
      </c>
      <c r="B4" s="23">
        <v>162000</v>
      </c>
      <c r="C4" s="23">
        <v>202500</v>
      </c>
      <c r="D4" s="23">
        <v>253125</v>
      </c>
    </row>
    <row r="5" spans="1:4" ht="14.5" x14ac:dyDescent="0.35">
      <c r="A5" s="8" t="s">
        <v>98</v>
      </c>
      <c r="B5" s="23">
        <v>64800</v>
      </c>
      <c r="C5" s="23">
        <v>81000</v>
      </c>
      <c r="D5" s="23">
        <v>101250</v>
      </c>
    </row>
    <row r="6" spans="1:4" ht="14.5" x14ac:dyDescent="0.35">
      <c r="A6" s="8" t="s">
        <v>117</v>
      </c>
      <c r="B6" s="23">
        <v>97200</v>
      </c>
      <c r="C6" s="23">
        <v>121500</v>
      </c>
      <c r="D6" s="23">
        <v>151875</v>
      </c>
    </row>
    <row r="7" spans="1:4" ht="14.5" x14ac:dyDescent="0.35">
      <c r="A7" s="8" t="s">
        <v>99</v>
      </c>
      <c r="B7" s="23">
        <v>99600</v>
      </c>
      <c r="C7" s="23">
        <v>104580</v>
      </c>
      <c r="D7" s="23">
        <v>109809</v>
      </c>
    </row>
    <row r="8" spans="1:4" ht="14.5" x14ac:dyDescent="0.35">
      <c r="A8" s="8" t="s">
        <v>118</v>
      </c>
      <c r="B8" s="23">
        <v>-2400</v>
      </c>
      <c r="C8" s="23">
        <v>16920</v>
      </c>
      <c r="D8" s="23">
        <v>42066</v>
      </c>
    </row>
    <row r="9" spans="1:4" ht="14.5" x14ac:dyDescent="0.35">
      <c r="A9" s="8" t="s">
        <v>119</v>
      </c>
      <c r="B9" s="23">
        <v>0</v>
      </c>
      <c r="C9" s="23">
        <v>0</v>
      </c>
      <c r="D9" s="23">
        <v>0</v>
      </c>
    </row>
    <row r="10" spans="1:4" ht="14.5" x14ac:dyDescent="0.35">
      <c r="A10" s="8" t="s">
        <v>120</v>
      </c>
      <c r="B10" s="23">
        <v>-2400</v>
      </c>
      <c r="C10" s="23">
        <v>16920</v>
      </c>
      <c r="D10" s="23">
        <v>42066</v>
      </c>
    </row>
    <row r="11" spans="1:4" ht="14.5" x14ac:dyDescent="0.35">
      <c r="A11" s="8" t="s">
        <v>121</v>
      </c>
      <c r="B11" s="23">
        <v>0</v>
      </c>
      <c r="C11" s="23">
        <v>3214.8</v>
      </c>
      <c r="D11" s="23">
        <v>7992.54</v>
      </c>
    </row>
    <row r="12" spans="1:4" ht="14.5" x14ac:dyDescent="0.35">
      <c r="A12" s="8" t="s">
        <v>122</v>
      </c>
      <c r="B12" s="23">
        <v>-2400</v>
      </c>
      <c r="C12" s="23">
        <v>13705.2</v>
      </c>
      <c r="D12" s="23">
        <v>34073.46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84F3D-7D3E-4A3F-86AE-EEA441488CCA}">
  <dimension ref="A1:AA54"/>
  <sheetViews>
    <sheetView zoomScale="59" workbookViewId="0">
      <selection activeCell="L15" sqref="L15"/>
    </sheetView>
  </sheetViews>
  <sheetFormatPr defaultColWidth="8.7265625" defaultRowHeight="14.25" customHeight="1" x14ac:dyDescent="0.35"/>
  <cols>
    <col min="1" max="1" width="12" customWidth="1"/>
    <col min="2" max="2" width="27" bestFit="1" customWidth="1"/>
    <col min="3" max="3" width="40.453125" bestFit="1" customWidth="1"/>
    <col min="4" max="4" width="12" customWidth="1"/>
    <col min="5" max="5" width="5.6328125" bestFit="1" customWidth="1"/>
    <col min="6" max="6" width="12.54296875" bestFit="1" customWidth="1"/>
    <col min="7" max="7" width="12.81640625" bestFit="1" customWidth="1"/>
    <col min="8" max="8" width="12.54296875" bestFit="1" customWidth="1"/>
    <col min="9" max="9" width="10.90625" bestFit="1" customWidth="1"/>
    <col min="10" max="10" width="12.54296875" bestFit="1" customWidth="1"/>
    <col min="11" max="11" width="10.81640625" bestFit="1" customWidth="1"/>
    <col min="12" max="24" width="12" customWidth="1"/>
    <col min="25" max="25" width="9.54296875" bestFit="1" customWidth="1"/>
    <col min="26" max="26" width="11.453125" bestFit="1" customWidth="1"/>
    <col min="27" max="27" width="13.1796875" bestFit="1" customWidth="1"/>
  </cols>
  <sheetData>
    <row r="1" spans="1:27" ht="14.25" customHeight="1" x14ac:dyDescent="0.35">
      <c r="A1" s="5"/>
      <c r="B1" s="5" t="s">
        <v>123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 t="s">
        <v>191</v>
      </c>
      <c r="Z1" s="5" t="s">
        <v>192</v>
      </c>
      <c r="AA1" s="5" t="s">
        <v>193</v>
      </c>
    </row>
    <row r="2" spans="1:27" ht="27.75" customHeight="1" x14ac:dyDescent="0.35">
      <c r="A2" s="4"/>
      <c r="B2" s="4" t="s">
        <v>254</v>
      </c>
      <c r="C2" s="4"/>
      <c r="D2" s="4"/>
      <c r="E2" s="38"/>
      <c r="F2" s="38"/>
      <c r="G2" s="38"/>
      <c r="H2" s="39" t="s">
        <v>124</v>
      </c>
      <c r="I2" s="38"/>
      <c r="J2" s="38"/>
      <c r="K2" s="3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>
        <v>0</v>
      </c>
      <c r="Z2" s="4">
        <v>0</v>
      </c>
      <c r="AA2" s="40">
        <v>90000</v>
      </c>
    </row>
    <row r="3" spans="1:27" ht="14.25" customHeight="1" x14ac:dyDescent="0.35">
      <c r="A3" s="4"/>
      <c r="B3" s="4"/>
      <c r="C3" s="4"/>
      <c r="D3" s="4"/>
      <c r="E3" s="38" t="s">
        <v>125</v>
      </c>
      <c r="F3" s="38" t="s">
        <v>126</v>
      </c>
      <c r="G3" s="38" t="s">
        <v>127</v>
      </c>
      <c r="H3" s="38" t="s">
        <v>124</v>
      </c>
      <c r="I3" s="38" t="s">
        <v>128</v>
      </c>
      <c r="J3" s="38" t="s">
        <v>129</v>
      </c>
      <c r="K3" s="38" t="s">
        <v>130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>
        <v>500</v>
      </c>
      <c r="Z3" s="40">
        <v>25000</v>
      </c>
      <c r="AA3" s="40">
        <v>101250</v>
      </c>
    </row>
    <row r="4" spans="1:27" ht="14.25" customHeight="1" x14ac:dyDescent="0.35">
      <c r="A4" s="4"/>
      <c r="B4" s="8" t="s">
        <v>131</v>
      </c>
      <c r="C4" s="8">
        <v>0</v>
      </c>
      <c r="D4" s="4"/>
      <c r="E4" s="4">
        <v>0</v>
      </c>
      <c r="F4" s="41">
        <f t="shared" ref="F4:F54" si="0">E4*$C$6</f>
        <v>0</v>
      </c>
      <c r="G4" s="41">
        <f t="shared" ref="G4:G54" si="1">E4*$C$7</f>
        <v>0</v>
      </c>
      <c r="H4" s="41">
        <f t="shared" ref="H4:H54" si="2">F4-G4</f>
        <v>0</v>
      </c>
      <c r="I4" s="41">
        <f t="shared" ref="I4:I54" si="3">$C$9</f>
        <v>99600</v>
      </c>
      <c r="J4" s="41">
        <f t="shared" ref="J4:J54" si="4">G4+I4</f>
        <v>99600</v>
      </c>
      <c r="K4" s="42">
        <f t="shared" ref="K4:K54" si="5">F4-J4</f>
        <v>-99600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0">
        <v>1000</v>
      </c>
      <c r="Z4" s="40">
        <v>50000</v>
      </c>
      <c r="AA4" s="40">
        <v>112500</v>
      </c>
    </row>
    <row r="5" spans="1:27" ht="14.25" customHeight="1" x14ac:dyDescent="0.35">
      <c r="A5" s="4"/>
      <c r="B5" s="8" t="s">
        <v>132</v>
      </c>
      <c r="C5" s="43">
        <v>100</v>
      </c>
      <c r="D5" s="4"/>
      <c r="E5" s="4">
        <f t="shared" ref="E5:E54" si="6">E4+$C$5</f>
        <v>100</v>
      </c>
      <c r="F5" s="41">
        <f t="shared" si="0"/>
        <v>4500</v>
      </c>
      <c r="G5" s="41">
        <f t="shared" si="1"/>
        <v>1800</v>
      </c>
      <c r="H5" s="41">
        <f t="shared" si="2"/>
        <v>2700</v>
      </c>
      <c r="I5" s="41">
        <f t="shared" si="3"/>
        <v>99600</v>
      </c>
      <c r="J5" s="41">
        <f t="shared" si="4"/>
        <v>101400</v>
      </c>
      <c r="K5" s="42">
        <f t="shared" si="5"/>
        <v>-96900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0">
        <v>1500</v>
      </c>
      <c r="Z5" s="40">
        <v>75000</v>
      </c>
      <c r="AA5" s="40">
        <v>123750</v>
      </c>
    </row>
    <row r="6" spans="1:27" ht="14.25" customHeight="1" x14ac:dyDescent="0.35">
      <c r="A6" s="4"/>
      <c r="B6" s="8" t="s">
        <v>133</v>
      </c>
      <c r="C6" s="44">
        <v>45</v>
      </c>
      <c r="D6" s="4"/>
      <c r="E6" s="4">
        <f t="shared" si="6"/>
        <v>200</v>
      </c>
      <c r="F6" s="41">
        <f t="shared" si="0"/>
        <v>9000</v>
      </c>
      <c r="G6" s="41">
        <f t="shared" si="1"/>
        <v>3600</v>
      </c>
      <c r="H6" s="41">
        <f t="shared" si="2"/>
        <v>5400</v>
      </c>
      <c r="I6" s="41">
        <f t="shared" si="3"/>
        <v>99600</v>
      </c>
      <c r="J6" s="41">
        <f t="shared" si="4"/>
        <v>103200</v>
      </c>
      <c r="K6" s="42">
        <f t="shared" si="5"/>
        <v>-94200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0">
        <v>2000</v>
      </c>
      <c r="Z6" s="40">
        <v>100000</v>
      </c>
      <c r="AA6" s="40">
        <v>135000</v>
      </c>
    </row>
    <row r="7" spans="1:27" ht="14.25" customHeight="1" x14ac:dyDescent="0.35">
      <c r="A7" s="4"/>
      <c r="B7" s="8" t="s">
        <v>134</v>
      </c>
      <c r="C7" s="44">
        <v>18</v>
      </c>
      <c r="D7" s="4"/>
      <c r="E7" s="4">
        <f t="shared" si="6"/>
        <v>300</v>
      </c>
      <c r="F7" s="41">
        <f t="shared" si="0"/>
        <v>13500</v>
      </c>
      <c r="G7" s="41">
        <f t="shared" si="1"/>
        <v>5400</v>
      </c>
      <c r="H7" s="41">
        <f t="shared" si="2"/>
        <v>8100</v>
      </c>
      <c r="I7" s="41">
        <f t="shared" si="3"/>
        <v>99600</v>
      </c>
      <c r="J7" s="41">
        <f t="shared" si="4"/>
        <v>105000</v>
      </c>
      <c r="K7" s="42">
        <f t="shared" si="5"/>
        <v>-91500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0">
        <v>2500</v>
      </c>
      <c r="Z7" s="40">
        <v>125000</v>
      </c>
      <c r="AA7" s="40">
        <v>146250</v>
      </c>
    </row>
    <row r="8" spans="1:27" ht="14.25" customHeight="1" x14ac:dyDescent="0.35">
      <c r="A8" s="4"/>
      <c r="B8" s="8" t="s">
        <v>135</v>
      </c>
      <c r="C8" s="45">
        <v>27</v>
      </c>
      <c r="D8" s="4"/>
      <c r="E8" s="4">
        <f t="shared" si="6"/>
        <v>400</v>
      </c>
      <c r="F8" s="41">
        <f t="shared" si="0"/>
        <v>18000</v>
      </c>
      <c r="G8" s="41">
        <f t="shared" si="1"/>
        <v>7200</v>
      </c>
      <c r="H8" s="41">
        <f t="shared" si="2"/>
        <v>10800</v>
      </c>
      <c r="I8" s="41">
        <f t="shared" si="3"/>
        <v>99600</v>
      </c>
      <c r="J8" s="41">
        <f t="shared" si="4"/>
        <v>106800</v>
      </c>
      <c r="K8" s="42">
        <f t="shared" si="5"/>
        <v>-88800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0">
        <v>3000</v>
      </c>
      <c r="Z8" s="40">
        <v>150000</v>
      </c>
      <c r="AA8" s="40">
        <v>157500</v>
      </c>
    </row>
    <row r="9" spans="1:27" ht="14.25" customHeight="1" x14ac:dyDescent="0.35">
      <c r="A9" s="4"/>
      <c r="B9" s="8" t="s">
        <v>136</v>
      </c>
      <c r="C9" s="44">
        <v>99600</v>
      </c>
      <c r="D9" s="4"/>
      <c r="E9" s="4">
        <f t="shared" si="6"/>
        <v>500</v>
      </c>
      <c r="F9" s="41">
        <f t="shared" si="0"/>
        <v>22500</v>
      </c>
      <c r="G9" s="41">
        <f t="shared" si="1"/>
        <v>9000</v>
      </c>
      <c r="H9" s="41">
        <f t="shared" si="2"/>
        <v>13500</v>
      </c>
      <c r="I9" s="41">
        <f t="shared" si="3"/>
        <v>99600</v>
      </c>
      <c r="J9" s="41">
        <f t="shared" si="4"/>
        <v>108600</v>
      </c>
      <c r="K9" s="42">
        <f t="shared" si="5"/>
        <v>-86100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6">
        <v>3272.73</v>
      </c>
      <c r="Z9" s="46">
        <v>163636.35999999999</v>
      </c>
      <c r="AA9" s="46">
        <v>163636.35999999999</v>
      </c>
    </row>
    <row r="10" spans="1:27" ht="14.25" customHeight="1" x14ac:dyDescent="0.35">
      <c r="A10" s="4"/>
      <c r="B10" s="8"/>
      <c r="C10" s="8"/>
      <c r="D10" s="4"/>
      <c r="E10" s="4">
        <f t="shared" si="6"/>
        <v>600</v>
      </c>
      <c r="F10" s="41">
        <f t="shared" si="0"/>
        <v>27000</v>
      </c>
      <c r="G10" s="41">
        <f t="shared" si="1"/>
        <v>10800</v>
      </c>
      <c r="H10" s="41">
        <f t="shared" si="2"/>
        <v>16200</v>
      </c>
      <c r="I10" s="41">
        <f t="shared" si="3"/>
        <v>99600</v>
      </c>
      <c r="J10" s="41">
        <f t="shared" si="4"/>
        <v>110400</v>
      </c>
      <c r="K10" s="42">
        <f t="shared" si="5"/>
        <v>-83400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0">
        <v>3500</v>
      </c>
      <c r="Z10" s="40">
        <v>175000</v>
      </c>
      <c r="AA10" s="40">
        <v>168750</v>
      </c>
    </row>
    <row r="11" spans="1:27" ht="14.25" customHeight="1" x14ac:dyDescent="0.35">
      <c r="A11" s="4"/>
      <c r="B11" s="8" t="s">
        <v>137</v>
      </c>
      <c r="C11" s="47">
        <v>3688.8888888888887</v>
      </c>
      <c r="D11" s="4"/>
      <c r="E11" s="4">
        <f t="shared" si="6"/>
        <v>700</v>
      </c>
      <c r="F11" s="41">
        <f t="shared" si="0"/>
        <v>31500</v>
      </c>
      <c r="G11" s="41">
        <f t="shared" si="1"/>
        <v>12600</v>
      </c>
      <c r="H11" s="41">
        <f t="shared" si="2"/>
        <v>18900</v>
      </c>
      <c r="I11" s="41">
        <f t="shared" si="3"/>
        <v>99600</v>
      </c>
      <c r="J11" s="41">
        <f t="shared" si="4"/>
        <v>112200</v>
      </c>
      <c r="K11" s="42">
        <f t="shared" si="5"/>
        <v>-80700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0">
        <v>4000</v>
      </c>
      <c r="Z11" s="40">
        <v>200000</v>
      </c>
      <c r="AA11" s="40">
        <v>180000</v>
      </c>
    </row>
    <row r="12" spans="1:27" ht="14.25" customHeight="1" x14ac:dyDescent="0.35">
      <c r="A12" s="4"/>
      <c r="B12" s="8" t="s">
        <v>138</v>
      </c>
      <c r="C12" s="45">
        <v>166000</v>
      </c>
      <c r="D12" s="4"/>
      <c r="E12" s="4">
        <f t="shared" si="6"/>
        <v>800</v>
      </c>
      <c r="F12" s="41">
        <f t="shared" si="0"/>
        <v>36000</v>
      </c>
      <c r="G12" s="41">
        <f t="shared" si="1"/>
        <v>14400</v>
      </c>
      <c r="H12" s="41">
        <f t="shared" si="2"/>
        <v>21600</v>
      </c>
      <c r="I12" s="41">
        <f t="shared" si="3"/>
        <v>99600</v>
      </c>
      <c r="J12" s="41">
        <f t="shared" si="4"/>
        <v>114000</v>
      </c>
      <c r="K12" s="42">
        <f t="shared" si="5"/>
        <v>-78000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0">
        <v>4500</v>
      </c>
      <c r="Z12" s="40">
        <v>225000</v>
      </c>
      <c r="AA12" s="40">
        <v>191250</v>
      </c>
    </row>
    <row r="13" spans="1:27" ht="14.25" customHeight="1" x14ac:dyDescent="0.35">
      <c r="A13" s="4"/>
      <c r="B13" s="4"/>
      <c r="C13" s="4"/>
      <c r="D13" s="4"/>
      <c r="E13" s="4">
        <f t="shared" si="6"/>
        <v>900</v>
      </c>
      <c r="F13" s="41">
        <f t="shared" si="0"/>
        <v>40500</v>
      </c>
      <c r="G13" s="41">
        <f t="shared" si="1"/>
        <v>16200</v>
      </c>
      <c r="H13" s="41">
        <f t="shared" si="2"/>
        <v>24300</v>
      </c>
      <c r="I13" s="41">
        <f t="shared" si="3"/>
        <v>99600</v>
      </c>
      <c r="J13" s="41">
        <f t="shared" si="4"/>
        <v>115800</v>
      </c>
      <c r="K13" s="4">
        <f t="shared" si="5"/>
        <v>-75300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0">
        <v>5000</v>
      </c>
      <c r="Z13" s="40">
        <v>250000</v>
      </c>
      <c r="AA13" s="40">
        <v>202500</v>
      </c>
    </row>
    <row r="14" spans="1:27" ht="14.25" customHeight="1" x14ac:dyDescent="0.35">
      <c r="A14" s="4"/>
      <c r="B14" s="48" t="s">
        <v>139</v>
      </c>
      <c r="C14" s="4"/>
      <c r="D14" s="4"/>
      <c r="E14" s="4">
        <f t="shared" si="6"/>
        <v>1000</v>
      </c>
      <c r="F14" s="41">
        <f t="shared" si="0"/>
        <v>45000</v>
      </c>
      <c r="G14" s="41">
        <f t="shared" si="1"/>
        <v>18000</v>
      </c>
      <c r="H14" s="41">
        <f t="shared" si="2"/>
        <v>27000</v>
      </c>
      <c r="I14" s="41">
        <f t="shared" si="3"/>
        <v>99600</v>
      </c>
      <c r="J14" s="41">
        <f t="shared" si="4"/>
        <v>117600</v>
      </c>
      <c r="K14" s="4">
        <f t="shared" si="5"/>
        <v>-72600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0">
        <v>5500</v>
      </c>
      <c r="Z14" s="40">
        <v>275000</v>
      </c>
      <c r="AA14" s="40">
        <v>213750</v>
      </c>
    </row>
    <row r="15" spans="1:27" ht="27.75" customHeight="1" x14ac:dyDescent="0.35">
      <c r="A15" s="4"/>
      <c r="B15" s="4" t="str">
        <f>B11&amp;":"&amp;TEXT(C11,"0")&amp;CHAR(10)&amp;B12&amp;":"&amp;TEXT(C12,"£#,##0")</f>
        <v>Break Even (Units):3689
Break Even (Sales):£1,66,000</v>
      </c>
      <c r="C15" s="4"/>
      <c r="D15" s="4"/>
      <c r="E15" s="4">
        <f t="shared" si="6"/>
        <v>1100</v>
      </c>
      <c r="F15" s="41">
        <f t="shared" si="0"/>
        <v>49500</v>
      </c>
      <c r="G15" s="41">
        <f t="shared" si="1"/>
        <v>19800</v>
      </c>
      <c r="H15" s="41">
        <f t="shared" si="2"/>
        <v>29700</v>
      </c>
      <c r="I15" s="41">
        <f t="shared" si="3"/>
        <v>99600</v>
      </c>
      <c r="J15" s="41">
        <f t="shared" si="4"/>
        <v>119400</v>
      </c>
      <c r="K15" s="4">
        <f t="shared" si="5"/>
        <v>-69900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0">
        <v>6000</v>
      </c>
      <c r="Z15" s="40">
        <v>300000</v>
      </c>
      <c r="AA15" s="40">
        <v>225000</v>
      </c>
    </row>
    <row r="16" spans="1:27" ht="14.25" customHeight="1" x14ac:dyDescent="0.35">
      <c r="A16" s="4"/>
      <c r="B16" s="4"/>
      <c r="C16" s="4"/>
      <c r="D16" s="4"/>
      <c r="E16" s="4">
        <f t="shared" si="6"/>
        <v>1200</v>
      </c>
      <c r="F16" s="41">
        <f t="shared" si="0"/>
        <v>54000</v>
      </c>
      <c r="G16" s="41">
        <f t="shared" si="1"/>
        <v>21600</v>
      </c>
      <c r="H16" s="41">
        <f t="shared" si="2"/>
        <v>32400</v>
      </c>
      <c r="I16" s="41">
        <f t="shared" si="3"/>
        <v>99600</v>
      </c>
      <c r="J16" s="41">
        <f t="shared" si="4"/>
        <v>121200</v>
      </c>
      <c r="K16" s="4">
        <f t="shared" si="5"/>
        <v>-67200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4.25" customHeight="1" x14ac:dyDescent="0.35">
      <c r="A17" s="4"/>
      <c r="B17" s="4"/>
      <c r="C17" s="4"/>
      <c r="D17" s="4"/>
      <c r="E17" s="4">
        <f t="shared" si="6"/>
        <v>1300</v>
      </c>
      <c r="F17" s="41">
        <f t="shared" si="0"/>
        <v>58500</v>
      </c>
      <c r="G17" s="41">
        <f t="shared" si="1"/>
        <v>23400</v>
      </c>
      <c r="H17" s="41">
        <f t="shared" si="2"/>
        <v>35100</v>
      </c>
      <c r="I17" s="41">
        <f t="shared" si="3"/>
        <v>99600</v>
      </c>
      <c r="J17" s="41">
        <f t="shared" si="4"/>
        <v>123000</v>
      </c>
      <c r="K17" s="4">
        <f t="shared" si="5"/>
        <v>-64500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95.25" customHeight="1" x14ac:dyDescent="0.35">
      <c r="A18" s="4"/>
      <c r="B18" s="49"/>
      <c r="C18" s="48" t="s">
        <v>140</v>
      </c>
      <c r="D18" s="4"/>
      <c r="E18" s="4">
        <f t="shared" si="6"/>
        <v>1400</v>
      </c>
      <c r="F18" s="41">
        <f t="shared" si="0"/>
        <v>63000</v>
      </c>
      <c r="G18" s="41">
        <f t="shared" si="1"/>
        <v>25200</v>
      </c>
      <c r="H18" s="41">
        <f t="shared" si="2"/>
        <v>37800</v>
      </c>
      <c r="I18" s="41">
        <f t="shared" si="3"/>
        <v>99600</v>
      </c>
      <c r="J18" s="41">
        <f t="shared" si="4"/>
        <v>124800</v>
      </c>
      <c r="K18" s="4">
        <f t="shared" si="5"/>
        <v>-61800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4.25" customHeight="1" x14ac:dyDescent="0.35">
      <c r="A19" s="4"/>
      <c r="B19" s="4"/>
      <c r="C19" s="4"/>
      <c r="D19" s="4"/>
      <c r="E19" s="4">
        <f t="shared" si="6"/>
        <v>1500</v>
      </c>
      <c r="F19" s="41">
        <f t="shared" si="0"/>
        <v>67500</v>
      </c>
      <c r="G19" s="41">
        <f t="shared" si="1"/>
        <v>27000</v>
      </c>
      <c r="H19" s="41">
        <f t="shared" si="2"/>
        <v>40500</v>
      </c>
      <c r="I19" s="41">
        <f t="shared" si="3"/>
        <v>99600</v>
      </c>
      <c r="J19" s="41">
        <f t="shared" si="4"/>
        <v>126600</v>
      </c>
      <c r="K19" s="4">
        <f t="shared" si="5"/>
        <v>-59100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4.25" customHeight="1" x14ac:dyDescent="0.35">
      <c r="A20" s="4"/>
      <c r="B20" s="4"/>
      <c r="C20" s="4"/>
      <c r="D20" s="4"/>
      <c r="E20" s="4">
        <f t="shared" si="6"/>
        <v>1600</v>
      </c>
      <c r="F20" s="41">
        <f t="shared" si="0"/>
        <v>72000</v>
      </c>
      <c r="G20" s="41">
        <f t="shared" si="1"/>
        <v>28800</v>
      </c>
      <c r="H20" s="41">
        <f t="shared" si="2"/>
        <v>43200</v>
      </c>
      <c r="I20" s="41">
        <f t="shared" si="3"/>
        <v>99600</v>
      </c>
      <c r="J20" s="41">
        <f t="shared" si="4"/>
        <v>128400</v>
      </c>
      <c r="K20" s="4">
        <f t="shared" si="5"/>
        <v>-56400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4.25" customHeight="1" x14ac:dyDescent="0.35">
      <c r="A21" s="4"/>
      <c r="B21" s="4"/>
      <c r="C21" s="4"/>
      <c r="D21" s="4"/>
      <c r="E21" s="4">
        <f t="shared" si="6"/>
        <v>1700</v>
      </c>
      <c r="F21" s="41">
        <f t="shared" si="0"/>
        <v>76500</v>
      </c>
      <c r="G21" s="41">
        <f t="shared" si="1"/>
        <v>30600</v>
      </c>
      <c r="H21" s="41">
        <f t="shared" si="2"/>
        <v>45900</v>
      </c>
      <c r="I21" s="41">
        <f t="shared" si="3"/>
        <v>99600</v>
      </c>
      <c r="J21" s="41">
        <f t="shared" si="4"/>
        <v>130200</v>
      </c>
      <c r="K21" s="4">
        <f t="shared" si="5"/>
        <v>-53700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4.25" customHeight="1" x14ac:dyDescent="0.35">
      <c r="A22" s="4"/>
      <c r="B22" s="4"/>
      <c r="C22" s="4"/>
      <c r="D22" s="4"/>
      <c r="E22" s="4">
        <f t="shared" si="6"/>
        <v>1800</v>
      </c>
      <c r="F22" s="41">
        <f t="shared" si="0"/>
        <v>81000</v>
      </c>
      <c r="G22" s="41">
        <f t="shared" si="1"/>
        <v>32400</v>
      </c>
      <c r="H22" s="41">
        <f t="shared" si="2"/>
        <v>48600</v>
      </c>
      <c r="I22" s="41">
        <f t="shared" si="3"/>
        <v>99600</v>
      </c>
      <c r="J22" s="41">
        <f t="shared" si="4"/>
        <v>132000</v>
      </c>
      <c r="K22" s="4">
        <f t="shared" si="5"/>
        <v>-51000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4.25" customHeight="1" x14ac:dyDescent="0.35">
      <c r="A23" s="4"/>
      <c r="B23" s="4"/>
      <c r="C23" s="4"/>
      <c r="D23" s="4"/>
      <c r="E23" s="4">
        <f t="shared" si="6"/>
        <v>1900</v>
      </c>
      <c r="F23" s="41">
        <f t="shared" si="0"/>
        <v>85500</v>
      </c>
      <c r="G23" s="41">
        <f t="shared" si="1"/>
        <v>34200</v>
      </c>
      <c r="H23" s="41">
        <f t="shared" si="2"/>
        <v>51300</v>
      </c>
      <c r="I23" s="41">
        <f t="shared" si="3"/>
        <v>99600</v>
      </c>
      <c r="J23" s="41">
        <f t="shared" si="4"/>
        <v>133800</v>
      </c>
      <c r="K23" s="4">
        <f t="shared" si="5"/>
        <v>-48300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4.25" customHeight="1" x14ac:dyDescent="0.35">
      <c r="A24" s="4"/>
      <c r="B24" s="4"/>
      <c r="C24" s="4"/>
      <c r="D24" s="4"/>
      <c r="E24" s="4">
        <f t="shared" si="6"/>
        <v>2000</v>
      </c>
      <c r="F24" s="41">
        <f t="shared" si="0"/>
        <v>90000</v>
      </c>
      <c r="G24" s="41">
        <f t="shared" si="1"/>
        <v>36000</v>
      </c>
      <c r="H24" s="41">
        <f t="shared" si="2"/>
        <v>54000</v>
      </c>
      <c r="I24" s="41">
        <f t="shared" si="3"/>
        <v>99600</v>
      </c>
      <c r="J24" s="41">
        <f t="shared" si="4"/>
        <v>135600</v>
      </c>
      <c r="K24" s="4">
        <f t="shared" si="5"/>
        <v>-45600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4.25" customHeight="1" x14ac:dyDescent="0.35">
      <c r="A25" s="4"/>
      <c r="B25" s="4"/>
      <c r="C25" s="4"/>
      <c r="D25" s="4"/>
      <c r="E25" s="4">
        <f t="shared" si="6"/>
        <v>2100</v>
      </c>
      <c r="F25" s="41">
        <f t="shared" si="0"/>
        <v>94500</v>
      </c>
      <c r="G25" s="41">
        <f t="shared" si="1"/>
        <v>37800</v>
      </c>
      <c r="H25" s="41">
        <f t="shared" si="2"/>
        <v>56700</v>
      </c>
      <c r="I25" s="41">
        <f t="shared" si="3"/>
        <v>99600</v>
      </c>
      <c r="J25" s="41">
        <f t="shared" si="4"/>
        <v>137400</v>
      </c>
      <c r="K25" s="4">
        <f t="shared" si="5"/>
        <v>-42900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4.25" customHeight="1" x14ac:dyDescent="0.35">
      <c r="A26" s="4"/>
      <c r="B26" s="4"/>
      <c r="C26" s="4"/>
      <c r="D26" s="4"/>
      <c r="E26" s="4">
        <f t="shared" si="6"/>
        <v>2200</v>
      </c>
      <c r="F26" s="41">
        <f t="shared" si="0"/>
        <v>99000</v>
      </c>
      <c r="G26" s="41">
        <f t="shared" si="1"/>
        <v>39600</v>
      </c>
      <c r="H26" s="41">
        <f t="shared" si="2"/>
        <v>59400</v>
      </c>
      <c r="I26" s="41">
        <f t="shared" si="3"/>
        <v>99600</v>
      </c>
      <c r="J26" s="41">
        <f t="shared" si="4"/>
        <v>139200</v>
      </c>
      <c r="K26" s="4">
        <f t="shared" si="5"/>
        <v>-40200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4.25" customHeight="1" x14ac:dyDescent="0.35">
      <c r="A27" s="4"/>
      <c r="B27" s="4"/>
      <c r="C27" s="4"/>
      <c r="D27" s="4"/>
      <c r="E27" s="4">
        <f t="shared" si="6"/>
        <v>2300</v>
      </c>
      <c r="F27" s="41">
        <f t="shared" si="0"/>
        <v>103500</v>
      </c>
      <c r="G27" s="41">
        <f t="shared" si="1"/>
        <v>41400</v>
      </c>
      <c r="H27" s="41">
        <f t="shared" si="2"/>
        <v>62100</v>
      </c>
      <c r="I27" s="41">
        <f t="shared" si="3"/>
        <v>99600</v>
      </c>
      <c r="J27" s="41">
        <f t="shared" si="4"/>
        <v>141000</v>
      </c>
      <c r="K27" s="4">
        <f t="shared" si="5"/>
        <v>-37500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4.25" customHeight="1" x14ac:dyDescent="0.35">
      <c r="A28" s="4"/>
      <c r="B28" s="4"/>
      <c r="C28" s="4"/>
      <c r="D28" s="4"/>
      <c r="E28" s="4">
        <f t="shared" si="6"/>
        <v>2400</v>
      </c>
      <c r="F28" s="41">
        <f t="shared" si="0"/>
        <v>108000</v>
      </c>
      <c r="G28" s="41">
        <f t="shared" si="1"/>
        <v>43200</v>
      </c>
      <c r="H28" s="41">
        <f t="shared" si="2"/>
        <v>64800</v>
      </c>
      <c r="I28" s="41">
        <f t="shared" si="3"/>
        <v>99600</v>
      </c>
      <c r="J28" s="41">
        <f t="shared" si="4"/>
        <v>142800</v>
      </c>
      <c r="K28" s="4">
        <f t="shared" si="5"/>
        <v>-34800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4.25" customHeight="1" x14ac:dyDescent="0.35">
      <c r="A29" s="4"/>
      <c r="B29" s="4"/>
      <c r="C29" s="4"/>
      <c r="D29" s="4"/>
      <c r="E29" s="4">
        <f t="shared" si="6"/>
        <v>2500</v>
      </c>
      <c r="F29" s="41">
        <f t="shared" si="0"/>
        <v>112500</v>
      </c>
      <c r="G29" s="41">
        <f t="shared" si="1"/>
        <v>45000</v>
      </c>
      <c r="H29" s="41">
        <f t="shared" si="2"/>
        <v>67500</v>
      </c>
      <c r="I29" s="41">
        <f t="shared" si="3"/>
        <v>99600</v>
      </c>
      <c r="J29" s="41">
        <f t="shared" si="4"/>
        <v>144600</v>
      </c>
      <c r="K29" s="4">
        <f t="shared" si="5"/>
        <v>-32100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4.25" customHeight="1" x14ac:dyDescent="0.35">
      <c r="A30" s="4"/>
      <c r="B30" s="4"/>
      <c r="C30" s="4"/>
      <c r="D30" s="4"/>
      <c r="E30" s="4">
        <f t="shared" si="6"/>
        <v>2600</v>
      </c>
      <c r="F30" s="41">
        <f t="shared" si="0"/>
        <v>117000</v>
      </c>
      <c r="G30" s="41">
        <f t="shared" si="1"/>
        <v>46800</v>
      </c>
      <c r="H30" s="41">
        <f t="shared" si="2"/>
        <v>70200</v>
      </c>
      <c r="I30" s="41">
        <f t="shared" si="3"/>
        <v>99600</v>
      </c>
      <c r="J30" s="41">
        <f t="shared" si="4"/>
        <v>146400</v>
      </c>
      <c r="K30" s="4">
        <f t="shared" si="5"/>
        <v>-29400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4.25" customHeight="1" x14ac:dyDescent="0.35">
      <c r="A31" s="4"/>
      <c r="B31" s="4"/>
      <c r="C31" s="4"/>
      <c r="D31" s="4"/>
      <c r="E31" s="4">
        <f t="shared" si="6"/>
        <v>2700</v>
      </c>
      <c r="F31" s="41">
        <f t="shared" si="0"/>
        <v>121500</v>
      </c>
      <c r="G31" s="41">
        <f t="shared" si="1"/>
        <v>48600</v>
      </c>
      <c r="H31" s="41">
        <f t="shared" si="2"/>
        <v>72900</v>
      </c>
      <c r="I31" s="41">
        <f t="shared" si="3"/>
        <v>99600</v>
      </c>
      <c r="J31" s="41">
        <f t="shared" si="4"/>
        <v>148200</v>
      </c>
      <c r="K31" s="4">
        <f t="shared" si="5"/>
        <v>-26700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4.25" customHeight="1" x14ac:dyDescent="0.35">
      <c r="A32" s="4"/>
      <c r="B32" s="4"/>
      <c r="C32" s="4"/>
      <c r="D32" s="4"/>
      <c r="E32" s="4">
        <f t="shared" si="6"/>
        <v>2800</v>
      </c>
      <c r="F32" s="41">
        <f t="shared" si="0"/>
        <v>126000</v>
      </c>
      <c r="G32" s="41">
        <f t="shared" si="1"/>
        <v>50400</v>
      </c>
      <c r="H32" s="41">
        <f t="shared" si="2"/>
        <v>75600</v>
      </c>
      <c r="I32" s="41">
        <f t="shared" si="3"/>
        <v>99600</v>
      </c>
      <c r="J32" s="41">
        <f t="shared" si="4"/>
        <v>150000</v>
      </c>
      <c r="K32" s="4">
        <f t="shared" si="5"/>
        <v>-24000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4.25" customHeight="1" x14ac:dyDescent="0.35">
      <c r="A33" s="4"/>
      <c r="B33" s="4"/>
      <c r="C33" s="4"/>
      <c r="D33" s="4"/>
      <c r="E33" s="4">
        <f t="shared" si="6"/>
        <v>2900</v>
      </c>
      <c r="F33" s="41">
        <f t="shared" si="0"/>
        <v>130500</v>
      </c>
      <c r="G33" s="41">
        <f t="shared" si="1"/>
        <v>52200</v>
      </c>
      <c r="H33" s="41">
        <f t="shared" si="2"/>
        <v>78300</v>
      </c>
      <c r="I33" s="41">
        <f t="shared" si="3"/>
        <v>99600</v>
      </c>
      <c r="J33" s="41">
        <f t="shared" si="4"/>
        <v>151800</v>
      </c>
      <c r="K33" s="4">
        <f t="shared" si="5"/>
        <v>-21300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4.25" customHeight="1" x14ac:dyDescent="0.35">
      <c r="A34" s="4"/>
      <c r="B34" s="4"/>
      <c r="C34" s="4"/>
      <c r="D34" s="4"/>
      <c r="E34" s="4">
        <f t="shared" si="6"/>
        <v>3000</v>
      </c>
      <c r="F34" s="41">
        <f t="shared" si="0"/>
        <v>135000</v>
      </c>
      <c r="G34" s="41">
        <f t="shared" si="1"/>
        <v>54000</v>
      </c>
      <c r="H34" s="41">
        <f t="shared" si="2"/>
        <v>81000</v>
      </c>
      <c r="I34" s="41">
        <f t="shared" si="3"/>
        <v>99600</v>
      </c>
      <c r="J34" s="41">
        <f t="shared" si="4"/>
        <v>153600</v>
      </c>
      <c r="K34" s="4">
        <f t="shared" si="5"/>
        <v>-18600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4.25" customHeight="1" x14ac:dyDescent="0.35">
      <c r="A35" s="4"/>
      <c r="B35" s="4"/>
      <c r="C35" s="4"/>
      <c r="D35" s="4"/>
      <c r="E35" s="4">
        <f t="shared" si="6"/>
        <v>3100</v>
      </c>
      <c r="F35" s="41">
        <f t="shared" si="0"/>
        <v>139500</v>
      </c>
      <c r="G35" s="41">
        <f t="shared" si="1"/>
        <v>55800</v>
      </c>
      <c r="H35" s="41">
        <f t="shared" si="2"/>
        <v>83700</v>
      </c>
      <c r="I35" s="41">
        <f t="shared" si="3"/>
        <v>99600</v>
      </c>
      <c r="J35" s="41">
        <f t="shared" si="4"/>
        <v>155400</v>
      </c>
      <c r="K35" s="4">
        <f t="shared" si="5"/>
        <v>-15900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4.25" customHeight="1" x14ac:dyDescent="0.35">
      <c r="A36" s="4"/>
      <c r="B36" s="4"/>
      <c r="C36" s="4"/>
      <c r="D36" s="4"/>
      <c r="E36" s="4">
        <f t="shared" si="6"/>
        <v>3200</v>
      </c>
      <c r="F36" s="41">
        <f t="shared" si="0"/>
        <v>144000</v>
      </c>
      <c r="G36" s="41">
        <f t="shared" si="1"/>
        <v>57600</v>
      </c>
      <c r="H36" s="41">
        <f t="shared" si="2"/>
        <v>86400</v>
      </c>
      <c r="I36" s="41">
        <f t="shared" si="3"/>
        <v>99600</v>
      </c>
      <c r="J36" s="41">
        <f t="shared" si="4"/>
        <v>157200</v>
      </c>
      <c r="K36" s="4">
        <f t="shared" si="5"/>
        <v>-13200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4.25" customHeight="1" x14ac:dyDescent="0.35">
      <c r="A37" s="4"/>
      <c r="B37" s="4"/>
      <c r="C37" s="4"/>
      <c r="D37" s="4"/>
      <c r="E37" s="4">
        <f t="shared" si="6"/>
        <v>3300</v>
      </c>
      <c r="F37" s="41">
        <f t="shared" si="0"/>
        <v>148500</v>
      </c>
      <c r="G37" s="41">
        <f t="shared" si="1"/>
        <v>59400</v>
      </c>
      <c r="H37" s="41">
        <f t="shared" si="2"/>
        <v>89100</v>
      </c>
      <c r="I37" s="41">
        <f t="shared" si="3"/>
        <v>99600</v>
      </c>
      <c r="J37" s="41">
        <f t="shared" si="4"/>
        <v>159000</v>
      </c>
      <c r="K37" s="4">
        <f t="shared" si="5"/>
        <v>-10500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4.25" customHeight="1" x14ac:dyDescent="0.35">
      <c r="A38" s="4"/>
      <c r="B38" s="4"/>
      <c r="C38" s="4"/>
      <c r="D38" s="4"/>
      <c r="E38" s="4">
        <f t="shared" si="6"/>
        <v>3400</v>
      </c>
      <c r="F38" s="41">
        <f t="shared" si="0"/>
        <v>153000</v>
      </c>
      <c r="G38" s="41">
        <f t="shared" si="1"/>
        <v>61200</v>
      </c>
      <c r="H38" s="41">
        <f t="shared" si="2"/>
        <v>91800</v>
      </c>
      <c r="I38" s="41">
        <f t="shared" si="3"/>
        <v>99600</v>
      </c>
      <c r="J38" s="41">
        <f t="shared" si="4"/>
        <v>160800</v>
      </c>
      <c r="K38" s="4">
        <f t="shared" si="5"/>
        <v>-7800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4.25" customHeight="1" x14ac:dyDescent="0.35">
      <c r="A39" s="4"/>
      <c r="B39" s="4"/>
      <c r="C39" s="4"/>
      <c r="D39" s="4"/>
      <c r="E39" s="4">
        <f t="shared" si="6"/>
        <v>3500</v>
      </c>
      <c r="F39" s="41">
        <f t="shared" si="0"/>
        <v>157500</v>
      </c>
      <c r="G39" s="41">
        <f t="shared" si="1"/>
        <v>63000</v>
      </c>
      <c r="H39" s="41">
        <f t="shared" si="2"/>
        <v>94500</v>
      </c>
      <c r="I39" s="41">
        <f t="shared" si="3"/>
        <v>99600</v>
      </c>
      <c r="J39" s="41">
        <f t="shared" si="4"/>
        <v>162600</v>
      </c>
      <c r="K39" s="4">
        <f t="shared" si="5"/>
        <v>-5100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4.25" customHeight="1" x14ac:dyDescent="0.35">
      <c r="A40" s="4"/>
      <c r="B40" s="4"/>
      <c r="C40" s="4"/>
      <c r="D40" s="4"/>
      <c r="E40" s="4">
        <f t="shared" si="6"/>
        <v>3600</v>
      </c>
      <c r="F40" s="41">
        <f t="shared" si="0"/>
        <v>162000</v>
      </c>
      <c r="G40" s="41">
        <f t="shared" si="1"/>
        <v>64800</v>
      </c>
      <c r="H40" s="41">
        <f t="shared" si="2"/>
        <v>97200</v>
      </c>
      <c r="I40" s="41">
        <f t="shared" si="3"/>
        <v>99600</v>
      </c>
      <c r="J40" s="41">
        <f t="shared" si="4"/>
        <v>164400</v>
      </c>
      <c r="K40" s="4">
        <f t="shared" si="5"/>
        <v>-2400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4.25" customHeight="1" x14ac:dyDescent="0.35">
      <c r="A41" s="4"/>
      <c r="B41" s="4"/>
      <c r="C41" s="4"/>
      <c r="D41" s="4"/>
      <c r="E41" s="4">
        <f t="shared" si="6"/>
        <v>3700</v>
      </c>
      <c r="F41" s="41">
        <f t="shared" si="0"/>
        <v>166500</v>
      </c>
      <c r="G41" s="41">
        <f t="shared" si="1"/>
        <v>66600</v>
      </c>
      <c r="H41" s="41">
        <f t="shared" si="2"/>
        <v>99900</v>
      </c>
      <c r="I41" s="41">
        <f t="shared" si="3"/>
        <v>99600</v>
      </c>
      <c r="J41" s="41">
        <f t="shared" si="4"/>
        <v>166200</v>
      </c>
      <c r="K41" s="4">
        <f t="shared" si="5"/>
        <v>300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4.25" customHeight="1" x14ac:dyDescent="0.35">
      <c r="A42" s="4"/>
      <c r="B42" s="4"/>
      <c r="C42" s="4"/>
      <c r="D42" s="4"/>
      <c r="E42" s="4">
        <f t="shared" si="6"/>
        <v>3800</v>
      </c>
      <c r="F42" s="41">
        <f t="shared" si="0"/>
        <v>171000</v>
      </c>
      <c r="G42" s="41">
        <f t="shared" si="1"/>
        <v>68400</v>
      </c>
      <c r="H42" s="41">
        <f t="shared" si="2"/>
        <v>102600</v>
      </c>
      <c r="I42" s="41">
        <f t="shared" si="3"/>
        <v>99600</v>
      </c>
      <c r="J42" s="41">
        <f t="shared" si="4"/>
        <v>168000</v>
      </c>
      <c r="K42" s="4">
        <f t="shared" si="5"/>
        <v>3000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4.25" customHeight="1" x14ac:dyDescent="0.35">
      <c r="A43" s="4"/>
      <c r="B43" s="4"/>
      <c r="C43" s="4"/>
      <c r="D43" s="4"/>
      <c r="E43" s="4">
        <f t="shared" si="6"/>
        <v>3900</v>
      </c>
      <c r="F43" s="41">
        <f t="shared" si="0"/>
        <v>175500</v>
      </c>
      <c r="G43" s="41">
        <f t="shared" si="1"/>
        <v>70200</v>
      </c>
      <c r="H43" s="41">
        <f t="shared" si="2"/>
        <v>105300</v>
      </c>
      <c r="I43" s="41">
        <f t="shared" si="3"/>
        <v>99600</v>
      </c>
      <c r="J43" s="41">
        <f t="shared" si="4"/>
        <v>169800</v>
      </c>
      <c r="K43" s="4">
        <f t="shared" si="5"/>
        <v>5700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4.25" customHeight="1" x14ac:dyDescent="0.35">
      <c r="A44" s="4"/>
      <c r="B44" s="4"/>
      <c r="C44" s="4"/>
      <c r="D44" s="4"/>
      <c r="E44" s="4">
        <f t="shared" si="6"/>
        <v>4000</v>
      </c>
      <c r="F44" s="41">
        <f t="shared" si="0"/>
        <v>180000</v>
      </c>
      <c r="G44" s="41">
        <f t="shared" si="1"/>
        <v>72000</v>
      </c>
      <c r="H44" s="41">
        <f t="shared" si="2"/>
        <v>108000</v>
      </c>
      <c r="I44" s="41">
        <f t="shared" si="3"/>
        <v>99600</v>
      </c>
      <c r="J44" s="41">
        <f t="shared" si="4"/>
        <v>171600</v>
      </c>
      <c r="K44" s="4">
        <f t="shared" si="5"/>
        <v>8400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4.25" customHeight="1" x14ac:dyDescent="0.35">
      <c r="A45" s="4"/>
      <c r="B45" s="4"/>
      <c r="C45" s="4"/>
      <c r="D45" s="4"/>
      <c r="E45" s="4">
        <f t="shared" si="6"/>
        <v>4100</v>
      </c>
      <c r="F45" s="41">
        <f t="shared" si="0"/>
        <v>184500</v>
      </c>
      <c r="G45" s="41">
        <f t="shared" si="1"/>
        <v>73800</v>
      </c>
      <c r="H45" s="41">
        <f t="shared" si="2"/>
        <v>110700</v>
      </c>
      <c r="I45" s="41">
        <f t="shared" si="3"/>
        <v>99600</v>
      </c>
      <c r="J45" s="41">
        <f t="shared" si="4"/>
        <v>173400</v>
      </c>
      <c r="K45" s="4">
        <f t="shared" si="5"/>
        <v>11100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4.25" customHeight="1" x14ac:dyDescent="0.35">
      <c r="A46" s="4"/>
      <c r="B46" s="4"/>
      <c r="C46" s="4"/>
      <c r="D46" s="4"/>
      <c r="E46" s="4">
        <f t="shared" si="6"/>
        <v>4200</v>
      </c>
      <c r="F46" s="41">
        <f t="shared" si="0"/>
        <v>189000</v>
      </c>
      <c r="G46" s="41">
        <f t="shared" si="1"/>
        <v>75600</v>
      </c>
      <c r="H46" s="41">
        <f t="shared" si="2"/>
        <v>113400</v>
      </c>
      <c r="I46" s="41">
        <f t="shared" si="3"/>
        <v>99600</v>
      </c>
      <c r="J46" s="41">
        <f t="shared" si="4"/>
        <v>175200</v>
      </c>
      <c r="K46" s="4">
        <f t="shared" si="5"/>
        <v>13800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4.25" customHeight="1" x14ac:dyDescent="0.35">
      <c r="A47" s="4"/>
      <c r="B47" s="4"/>
      <c r="C47" s="4"/>
      <c r="D47" s="4"/>
      <c r="E47" s="4">
        <f t="shared" si="6"/>
        <v>4300</v>
      </c>
      <c r="F47" s="41">
        <f t="shared" si="0"/>
        <v>193500</v>
      </c>
      <c r="G47" s="41">
        <f t="shared" si="1"/>
        <v>77400</v>
      </c>
      <c r="H47" s="41">
        <f t="shared" si="2"/>
        <v>116100</v>
      </c>
      <c r="I47" s="41">
        <f t="shared" si="3"/>
        <v>99600</v>
      </c>
      <c r="J47" s="41">
        <f t="shared" si="4"/>
        <v>177000</v>
      </c>
      <c r="K47" s="4">
        <f t="shared" si="5"/>
        <v>16500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4.25" customHeight="1" x14ac:dyDescent="0.35">
      <c r="A48" s="4"/>
      <c r="B48" s="4"/>
      <c r="C48" s="4"/>
      <c r="D48" s="4"/>
      <c r="E48" s="4">
        <f t="shared" si="6"/>
        <v>4400</v>
      </c>
      <c r="F48" s="41">
        <f t="shared" si="0"/>
        <v>198000</v>
      </c>
      <c r="G48" s="41">
        <f t="shared" si="1"/>
        <v>79200</v>
      </c>
      <c r="H48" s="41">
        <f t="shared" si="2"/>
        <v>118800</v>
      </c>
      <c r="I48" s="41">
        <f t="shared" si="3"/>
        <v>99600</v>
      </c>
      <c r="J48" s="41">
        <f t="shared" si="4"/>
        <v>178800</v>
      </c>
      <c r="K48" s="4">
        <f t="shared" si="5"/>
        <v>19200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4.25" customHeight="1" x14ac:dyDescent="0.35">
      <c r="A49" s="4"/>
      <c r="B49" s="4"/>
      <c r="C49" s="4"/>
      <c r="D49" s="4"/>
      <c r="E49" s="4">
        <f t="shared" si="6"/>
        <v>4500</v>
      </c>
      <c r="F49" s="41">
        <f t="shared" si="0"/>
        <v>202500</v>
      </c>
      <c r="G49" s="41">
        <f t="shared" si="1"/>
        <v>81000</v>
      </c>
      <c r="H49" s="41">
        <f t="shared" si="2"/>
        <v>121500</v>
      </c>
      <c r="I49" s="41">
        <f t="shared" si="3"/>
        <v>99600</v>
      </c>
      <c r="J49" s="41">
        <f t="shared" si="4"/>
        <v>180600</v>
      </c>
      <c r="K49" s="4">
        <f t="shared" si="5"/>
        <v>21900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4.25" customHeight="1" x14ac:dyDescent="0.35">
      <c r="A50" s="4"/>
      <c r="B50" s="4"/>
      <c r="C50" s="4"/>
      <c r="D50" s="4"/>
      <c r="E50" s="4">
        <f t="shared" si="6"/>
        <v>4600</v>
      </c>
      <c r="F50" s="41">
        <f t="shared" si="0"/>
        <v>207000</v>
      </c>
      <c r="G50" s="41">
        <f t="shared" si="1"/>
        <v>82800</v>
      </c>
      <c r="H50" s="41">
        <f t="shared" si="2"/>
        <v>124200</v>
      </c>
      <c r="I50" s="41">
        <f t="shared" si="3"/>
        <v>99600</v>
      </c>
      <c r="J50" s="41">
        <f t="shared" si="4"/>
        <v>182400</v>
      </c>
      <c r="K50" s="4">
        <f t="shared" si="5"/>
        <v>24600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4.25" customHeight="1" x14ac:dyDescent="0.35">
      <c r="A51" s="4"/>
      <c r="B51" s="4"/>
      <c r="C51" s="4"/>
      <c r="D51" s="4"/>
      <c r="E51" s="4">
        <f t="shared" si="6"/>
        <v>4700</v>
      </c>
      <c r="F51" s="41">
        <f t="shared" si="0"/>
        <v>211500</v>
      </c>
      <c r="G51" s="41">
        <f t="shared" si="1"/>
        <v>84600</v>
      </c>
      <c r="H51" s="41">
        <f t="shared" si="2"/>
        <v>126900</v>
      </c>
      <c r="I51" s="41">
        <f t="shared" si="3"/>
        <v>99600</v>
      </c>
      <c r="J51" s="41">
        <f t="shared" si="4"/>
        <v>184200</v>
      </c>
      <c r="K51" s="4">
        <f t="shared" si="5"/>
        <v>27300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4.25" customHeight="1" x14ac:dyDescent="0.35">
      <c r="A52" s="4"/>
      <c r="B52" s="4"/>
      <c r="C52" s="4"/>
      <c r="D52" s="4"/>
      <c r="E52" s="4">
        <f t="shared" si="6"/>
        <v>4800</v>
      </c>
      <c r="F52" s="41">
        <f t="shared" si="0"/>
        <v>216000</v>
      </c>
      <c r="G52" s="41">
        <f t="shared" si="1"/>
        <v>86400</v>
      </c>
      <c r="H52" s="41">
        <f t="shared" si="2"/>
        <v>129600</v>
      </c>
      <c r="I52" s="41">
        <f t="shared" si="3"/>
        <v>99600</v>
      </c>
      <c r="J52" s="41">
        <f t="shared" si="4"/>
        <v>186000</v>
      </c>
      <c r="K52" s="4">
        <f t="shared" si="5"/>
        <v>30000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4.25" customHeight="1" x14ac:dyDescent="0.35">
      <c r="A53" s="4"/>
      <c r="B53" s="4"/>
      <c r="C53" s="4"/>
      <c r="D53" s="4"/>
      <c r="E53" s="4">
        <f t="shared" si="6"/>
        <v>4900</v>
      </c>
      <c r="F53" s="41">
        <f t="shared" si="0"/>
        <v>220500</v>
      </c>
      <c r="G53" s="41">
        <f t="shared" si="1"/>
        <v>88200</v>
      </c>
      <c r="H53" s="41">
        <f t="shared" si="2"/>
        <v>132300</v>
      </c>
      <c r="I53" s="41">
        <f t="shared" si="3"/>
        <v>99600</v>
      </c>
      <c r="J53" s="41">
        <f t="shared" si="4"/>
        <v>187800</v>
      </c>
      <c r="K53" s="4">
        <f t="shared" si="5"/>
        <v>32700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4.25" customHeight="1" x14ac:dyDescent="0.35">
      <c r="A54" s="4"/>
      <c r="B54" s="4"/>
      <c r="C54" s="4"/>
      <c r="D54" s="4"/>
      <c r="E54" s="4">
        <f t="shared" si="6"/>
        <v>5000</v>
      </c>
      <c r="F54" s="41">
        <f t="shared" si="0"/>
        <v>225000</v>
      </c>
      <c r="G54" s="41">
        <f t="shared" si="1"/>
        <v>90000</v>
      </c>
      <c r="H54" s="41">
        <f t="shared" si="2"/>
        <v>135000</v>
      </c>
      <c r="I54" s="41">
        <f t="shared" si="3"/>
        <v>99600</v>
      </c>
      <c r="J54" s="41">
        <f t="shared" si="4"/>
        <v>189600</v>
      </c>
      <c r="K54" s="4">
        <f t="shared" si="5"/>
        <v>35400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BE413-F018-458A-8969-046506AC8F79}">
  <dimension ref="A1:E17"/>
  <sheetViews>
    <sheetView workbookViewId="0">
      <selection activeCell="B12" sqref="B12"/>
    </sheetView>
  </sheetViews>
  <sheetFormatPr defaultColWidth="8.6328125" defaultRowHeight="14.25" customHeight="1" x14ac:dyDescent="0.35"/>
  <cols>
    <col min="1" max="4" width="42" customWidth="1"/>
    <col min="5" max="5" width="33" customWidth="1"/>
  </cols>
  <sheetData>
    <row r="1" spans="1:5" ht="18.5" customHeight="1" x14ac:dyDescent="0.35">
      <c r="A1" s="70" t="s">
        <v>255</v>
      </c>
      <c r="B1" s="70"/>
      <c r="C1" s="70"/>
      <c r="D1" s="70"/>
      <c r="E1" s="70"/>
    </row>
    <row r="2" spans="1:5" ht="14.5" x14ac:dyDescent="0.35">
      <c r="A2" s="4"/>
      <c r="B2" s="4"/>
      <c r="C2" s="4"/>
      <c r="D2" s="4"/>
      <c r="E2" s="4"/>
    </row>
    <row r="3" spans="1:5" ht="14.5" x14ac:dyDescent="0.35">
      <c r="A3" s="7" t="s">
        <v>141</v>
      </c>
      <c r="B3" s="7" t="s">
        <v>142</v>
      </c>
      <c r="C3" s="7" t="s">
        <v>143</v>
      </c>
      <c r="D3" s="7" t="s">
        <v>144</v>
      </c>
      <c r="E3" s="7" t="s">
        <v>145</v>
      </c>
    </row>
    <row r="4" spans="1:5" ht="14.5" x14ac:dyDescent="0.35">
      <c r="A4" s="8" t="s">
        <v>97</v>
      </c>
      <c r="B4" s="23">
        <v>162000</v>
      </c>
      <c r="C4" s="23">
        <v>202500</v>
      </c>
      <c r="D4" s="23">
        <v>253125</v>
      </c>
      <c r="E4" s="8" t="s">
        <v>146</v>
      </c>
    </row>
    <row r="5" spans="1:5" ht="14.5" x14ac:dyDescent="0.35">
      <c r="A5" s="8" t="s">
        <v>98</v>
      </c>
      <c r="B5" s="23">
        <v>64800</v>
      </c>
      <c r="C5" s="23">
        <v>81000</v>
      </c>
      <c r="D5" s="23">
        <v>101250</v>
      </c>
      <c r="E5" s="8" t="s">
        <v>147</v>
      </c>
    </row>
    <row r="6" spans="1:5" ht="14.5" x14ac:dyDescent="0.35">
      <c r="A6" s="8" t="s">
        <v>117</v>
      </c>
      <c r="B6" s="23">
        <v>97200</v>
      </c>
      <c r="C6" s="23">
        <v>121500</v>
      </c>
      <c r="D6" s="23">
        <v>151875</v>
      </c>
      <c r="E6" s="8" t="s">
        <v>148</v>
      </c>
    </row>
    <row r="7" spans="1:5" ht="14.5" x14ac:dyDescent="0.35">
      <c r="A7" s="8" t="s">
        <v>99</v>
      </c>
      <c r="B7" s="23">
        <v>99600</v>
      </c>
      <c r="C7" s="23">
        <v>104580</v>
      </c>
      <c r="D7" s="23">
        <v>109809</v>
      </c>
      <c r="E7" s="8" t="s">
        <v>149</v>
      </c>
    </row>
    <row r="8" spans="1:5" ht="14.5" x14ac:dyDescent="0.35">
      <c r="A8" s="8" t="s">
        <v>150</v>
      </c>
      <c r="B8" s="23">
        <v>0</v>
      </c>
      <c r="C8" s="23">
        <v>0</v>
      </c>
      <c r="D8" s="23">
        <v>0</v>
      </c>
      <c r="E8" s="8" t="s">
        <v>256</v>
      </c>
    </row>
    <row r="9" spans="1:5" ht="14.5" x14ac:dyDescent="0.35">
      <c r="A9" s="8" t="s">
        <v>122</v>
      </c>
      <c r="B9" s="23">
        <v>-2400</v>
      </c>
      <c r="C9" s="23">
        <v>13705.2</v>
      </c>
      <c r="D9" s="23">
        <v>34073.46</v>
      </c>
      <c r="E9" s="8" t="s">
        <v>151</v>
      </c>
    </row>
    <row r="10" spans="1:5" ht="14.5" x14ac:dyDescent="0.35">
      <c r="A10" s="8" t="s">
        <v>164</v>
      </c>
      <c r="B10" s="35">
        <v>0.6</v>
      </c>
      <c r="C10" s="35">
        <v>0.6</v>
      </c>
      <c r="D10" s="35">
        <v>0.6</v>
      </c>
      <c r="E10" s="8" t="s">
        <v>152</v>
      </c>
    </row>
    <row r="11" spans="1:5" ht="14.5" x14ac:dyDescent="0.35">
      <c r="A11" s="8" t="s">
        <v>166</v>
      </c>
      <c r="B11" s="35">
        <v>-1.4814814814814815E-2</v>
      </c>
      <c r="C11" s="35">
        <v>6.7680000000000004E-2</v>
      </c>
      <c r="D11" s="35">
        <v>0.13461119999999999</v>
      </c>
      <c r="E11" s="8" t="s">
        <v>153</v>
      </c>
    </row>
    <row r="12" spans="1:5" ht="14.5" x14ac:dyDescent="0.35">
      <c r="A12" s="8" t="s">
        <v>154</v>
      </c>
      <c r="B12" s="23">
        <v>40</v>
      </c>
      <c r="C12" s="23">
        <v>40</v>
      </c>
      <c r="D12" s="23">
        <v>40</v>
      </c>
      <c r="E12" s="8" t="s">
        <v>155</v>
      </c>
    </row>
    <row r="13" spans="1:5" ht="14.5" x14ac:dyDescent="0.35">
      <c r="A13" s="8" t="s">
        <v>156</v>
      </c>
      <c r="B13" s="23">
        <v>162</v>
      </c>
      <c r="C13" s="23">
        <v>162</v>
      </c>
      <c r="D13" s="23">
        <v>162</v>
      </c>
      <c r="E13" s="8" t="s">
        <v>257</v>
      </c>
    </row>
    <row r="14" spans="1:5" ht="14.5" x14ac:dyDescent="0.35">
      <c r="A14" s="8" t="s">
        <v>165</v>
      </c>
      <c r="B14" s="50">
        <v>4.05</v>
      </c>
      <c r="C14" s="50">
        <v>4.05</v>
      </c>
      <c r="D14" s="50">
        <v>4.05</v>
      </c>
      <c r="E14" s="8" t="s">
        <v>157</v>
      </c>
    </row>
    <row r="15" spans="1:5" ht="14.5" x14ac:dyDescent="0.35">
      <c r="A15" s="4"/>
      <c r="B15" s="4"/>
      <c r="C15" s="4"/>
      <c r="D15" s="4"/>
      <c r="E15" s="4"/>
    </row>
    <row r="16" spans="1:5" ht="14.5" x14ac:dyDescent="0.35">
      <c r="A16" s="8" t="s">
        <v>137</v>
      </c>
      <c r="B16" s="51">
        <v>3688.8888888888887</v>
      </c>
      <c r="C16" s="4"/>
      <c r="D16" s="4"/>
      <c r="E16" s="4"/>
    </row>
    <row r="17" spans="1:5" ht="14.5" x14ac:dyDescent="0.35">
      <c r="A17" s="8" t="s">
        <v>138</v>
      </c>
      <c r="B17" s="45">
        <v>166000</v>
      </c>
      <c r="C17" s="4"/>
      <c r="D17" s="4"/>
      <c r="E17" s="4"/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9E42F-D9AF-4C40-A3AF-C89FBE9EF3B0}">
  <dimension ref="A1:L40"/>
  <sheetViews>
    <sheetView zoomScale="63" workbookViewId="0">
      <selection activeCell="G6" sqref="G6"/>
    </sheetView>
  </sheetViews>
  <sheetFormatPr defaultColWidth="8.6328125" defaultRowHeight="14.25" customHeight="1" x14ac:dyDescent="0.35"/>
  <cols>
    <col min="1" max="1" width="22" customWidth="1"/>
    <col min="2" max="5" width="15" customWidth="1"/>
    <col min="6" max="6" width="30" customWidth="1"/>
    <col min="7" max="7" width="18" customWidth="1"/>
    <col min="8" max="12" width="12" customWidth="1"/>
  </cols>
  <sheetData>
    <row r="1" spans="1:12" ht="20" customHeight="1" x14ac:dyDescent="0.35">
      <c r="A1" s="5" t="s">
        <v>258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14.25" customHeight="1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30" customHeight="1" x14ac:dyDescent="0.35">
      <c r="A3" s="52" t="s">
        <v>158</v>
      </c>
      <c r="B3" s="52"/>
      <c r="C3" s="52"/>
      <c r="D3" s="52"/>
      <c r="E3" s="52"/>
      <c r="F3" s="52" t="s">
        <v>159</v>
      </c>
      <c r="G3" s="52"/>
      <c r="H3" s="4"/>
      <c r="I3" s="4"/>
      <c r="J3" s="4"/>
      <c r="K3" s="4"/>
      <c r="L3" s="4"/>
    </row>
    <row r="4" spans="1:12" ht="14.5" x14ac:dyDescent="0.35">
      <c r="A4" s="53" t="s">
        <v>141</v>
      </c>
      <c r="B4" s="53" t="s">
        <v>142</v>
      </c>
      <c r="C4" s="53" t="s">
        <v>143</v>
      </c>
      <c r="D4" s="53" t="s">
        <v>144</v>
      </c>
      <c r="E4" s="4"/>
      <c r="F4" s="53" t="s">
        <v>110</v>
      </c>
      <c r="G4" s="54">
        <v>90000</v>
      </c>
      <c r="H4" s="4"/>
      <c r="I4" s="4"/>
      <c r="J4" s="4"/>
      <c r="K4" s="4"/>
      <c r="L4" s="4"/>
    </row>
    <row r="5" spans="1:12" ht="14.5" x14ac:dyDescent="0.35">
      <c r="A5" s="55" t="s">
        <v>97</v>
      </c>
      <c r="B5" s="33">
        <v>162000</v>
      </c>
      <c r="C5" s="33">
        <v>202500</v>
      </c>
      <c r="D5" s="33">
        <v>253125</v>
      </c>
      <c r="E5" s="4"/>
      <c r="F5" s="4" t="s">
        <v>160</v>
      </c>
      <c r="G5" s="41">
        <v>90000</v>
      </c>
      <c r="H5" s="4"/>
      <c r="I5" s="4"/>
      <c r="J5" s="4"/>
      <c r="K5" s="4"/>
      <c r="L5" s="4"/>
    </row>
    <row r="6" spans="1:12" ht="14.5" x14ac:dyDescent="0.35">
      <c r="A6" s="55" t="s">
        <v>117</v>
      </c>
      <c r="B6" s="33">
        <v>97200</v>
      </c>
      <c r="C6" s="33">
        <v>121500</v>
      </c>
      <c r="D6" s="33">
        <v>151875</v>
      </c>
      <c r="E6" s="4"/>
      <c r="F6" s="4" t="s">
        <v>161</v>
      </c>
      <c r="G6" s="41">
        <v>20000</v>
      </c>
      <c r="H6" s="4"/>
      <c r="I6" s="4"/>
      <c r="J6" s="4"/>
      <c r="K6" s="4"/>
      <c r="L6" s="4"/>
    </row>
    <row r="7" spans="1:12" ht="14.5" x14ac:dyDescent="0.35">
      <c r="A7" s="55" t="s">
        <v>118</v>
      </c>
      <c r="B7" s="33">
        <v>-2400</v>
      </c>
      <c r="C7" s="33">
        <v>16920</v>
      </c>
      <c r="D7" s="33">
        <v>42066</v>
      </c>
      <c r="E7" s="4"/>
      <c r="F7" s="4" t="s">
        <v>162</v>
      </c>
      <c r="G7" s="40">
        <v>3688.8888888888887</v>
      </c>
      <c r="H7" s="4"/>
      <c r="I7" s="4"/>
      <c r="J7" s="4"/>
      <c r="K7" s="4"/>
      <c r="L7" s="4"/>
    </row>
    <row r="8" spans="1:12" ht="14.5" x14ac:dyDescent="0.35">
      <c r="A8" s="55" t="s">
        <v>122</v>
      </c>
      <c r="B8" s="33">
        <v>-2400</v>
      </c>
      <c r="C8" s="33">
        <v>13705.2</v>
      </c>
      <c r="D8" s="33">
        <v>34073.46</v>
      </c>
      <c r="E8" s="4"/>
      <c r="F8" s="4" t="s">
        <v>163</v>
      </c>
      <c r="G8" s="41">
        <v>166000</v>
      </c>
      <c r="H8" s="4"/>
      <c r="I8" s="4"/>
      <c r="J8" s="4"/>
      <c r="K8" s="4"/>
      <c r="L8" s="4"/>
    </row>
    <row r="9" spans="1:12" ht="14.5" x14ac:dyDescent="0.35">
      <c r="A9" s="55" t="s">
        <v>164</v>
      </c>
      <c r="B9" s="56">
        <v>0.6</v>
      </c>
      <c r="C9" s="56">
        <v>0.6</v>
      </c>
      <c r="D9" s="56">
        <v>0.6</v>
      </c>
      <c r="E9" s="4"/>
      <c r="F9" s="4" t="s">
        <v>165</v>
      </c>
      <c r="G9" s="57">
        <v>4.05</v>
      </c>
      <c r="H9" s="4"/>
      <c r="I9" s="4"/>
      <c r="J9" s="4"/>
      <c r="K9" s="4"/>
      <c r="L9" s="4"/>
    </row>
    <row r="10" spans="1:12" ht="14.5" x14ac:dyDescent="0.35">
      <c r="A10" s="55" t="s">
        <v>166</v>
      </c>
      <c r="B10" s="56">
        <v>-1.4814814814814815E-2</v>
      </c>
      <c r="C10" s="56">
        <v>6.7680000000000004E-2</v>
      </c>
      <c r="D10" s="56">
        <v>0.13461119999999999</v>
      </c>
      <c r="E10" s="4"/>
      <c r="F10" s="4" t="s">
        <v>167</v>
      </c>
      <c r="G10" s="4" t="s">
        <v>269</v>
      </c>
      <c r="H10" s="4"/>
      <c r="I10" s="4"/>
      <c r="J10" s="4"/>
      <c r="K10" s="4"/>
      <c r="L10" s="4"/>
    </row>
    <row r="11" spans="1:12" ht="14.5" x14ac:dyDescent="0.35">
      <c r="A11" s="55" t="s">
        <v>103</v>
      </c>
      <c r="B11" s="33">
        <v>6318.9084338848916</v>
      </c>
      <c r="C11" s="33">
        <v>8743.0168677697839</v>
      </c>
      <c r="D11" s="33">
        <v>31535.385301654675</v>
      </c>
      <c r="E11" s="4"/>
      <c r="F11" s="4"/>
      <c r="G11" s="4"/>
      <c r="H11" s="4"/>
      <c r="I11" s="4"/>
      <c r="J11" s="4"/>
      <c r="K11" s="4"/>
      <c r="L11" s="4"/>
    </row>
    <row r="12" spans="1:12" ht="14.25" customHeight="1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4.25" customHeight="1" x14ac:dyDescent="0.35">
      <c r="A13" s="4"/>
      <c r="B13" s="4"/>
      <c r="C13" s="4"/>
      <c r="D13" s="4"/>
      <c r="E13" s="4"/>
      <c r="F13" s="4" t="s">
        <v>259</v>
      </c>
      <c r="G13" s="4"/>
      <c r="H13" s="4"/>
      <c r="I13" s="4"/>
      <c r="J13" s="4"/>
      <c r="K13" s="4"/>
      <c r="L13" s="4"/>
    </row>
    <row r="14" spans="1:12" ht="72.5" x14ac:dyDescent="0.35">
      <c r="A14" s="4" t="s">
        <v>260</v>
      </c>
      <c r="B14" s="4"/>
      <c r="C14" s="4"/>
      <c r="D14" s="4"/>
      <c r="E14" s="4"/>
      <c r="F14" s="4" t="s">
        <v>172</v>
      </c>
      <c r="G14" s="4" t="s">
        <v>270</v>
      </c>
      <c r="H14" s="4"/>
      <c r="I14" s="4"/>
      <c r="J14" s="4"/>
      <c r="K14" s="4"/>
      <c r="L14" s="4"/>
    </row>
    <row r="15" spans="1:12" ht="43.5" customHeight="1" x14ac:dyDescent="0.35">
      <c r="A15" s="4"/>
      <c r="B15" s="4"/>
      <c r="C15" s="4"/>
      <c r="D15" s="4"/>
      <c r="E15" s="4"/>
      <c r="F15" s="4" t="s">
        <v>261</v>
      </c>
      <c r="G15" s="4" t="s">
        <v>270</v>
      </c>
      <c r="H15" s="4"/>
      <c r="I15" s="4"/>
      <c r="J15" s="4"/>
      <c r="K15" s="4"/>
      <c r="L15" s="4"/>
    </row>
    <row r="16" spans="1:12" ht="29" x14ac:dyDescent="0.35">
      <c r="A16" s="4"/>
      <c r="B16" s="4"/>
      <c r="C16" s="4"/>
      <c r="D16" s="4"/>
      <c r="E16" s="4"/>
      <c r="F16" s="4" t="s">
        <v>262</v>
      </c>
      <c r="G16" s="4" t="s">
        <v>270</v>
      </c>
      <c r="H16" s="4"/>
      <c r="I16" s="4"/>
      <c r="J16" s="4"/>
      <c r="K16" s="4"/>
      <c r="L16" s="4"/>
    </row>
    <row r="17" spans="1:12" ht="43.5" x14ac:dyDescent="0.35">
      <c r="A17" s="4"/>
      <c r="B17" s="4"/>
      <c r="C17" s="4"/>
      <c r="D17" s="4"/>
      <c r="E17" s="4"/>
      <c r="F17" s="4" t="s">
        <v>263</v>
      </c>
      <c r="G17" s="4" t="s">
        <v>271</v>
      </c>
      <c r="H17" s="4"/>
      <c r="I17" s="4"/>
      <c r="J17" s="4"/>
      <c r="K17" s="4"/>
      <c r="L17" s="4"/>
    </row>
    <row r="18" spans="1:12" ht="14.5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4.5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4.25" customHeight="1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5" customHeight="1" x14ac:dyDescent="0.35">
      <c r="A21" s="58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4.5" x14ac:dyDescent="0.35">
      <c r="A22" s="59"/>
      <c r="B22" s="59"/>
      <c r="C22" s="59"/>
      <c r="D22" s="59"/>
      <c r="E22" s="59"/>
      <c r="F22" s="59"/>
      <c r="G22" s="59"/>
      <c r="H22" s="4"/>
      <c r="I22" s="4"/>
      <c r="J22" s="4"/>
      <c r="K22" s="4"/>
      <c r="L22" s="4"/>
    </row>
    <row r="23" spans="1:12" ht="14.5" x14ac:dyDescent="0.35">
      <c r="A23" s="60"/>
      <c r="B23" s="61"/>
      <c r="C23" s="61"/>
      <c r="D23" s="62"/>
      <c r="E23" s="62"/>
      <c r="F23" s="60"/>
      <c r="G23" s="60"/>
      <c r="H23" s="4"/>
      <c r="I23" s="4"/>
      <c r="J23" s="4"/>
      <c r="K23" s="4"/>
      <c r="L23" s="4"/>
    </row>
    <row r="24" spans="1:12" ht="14.5" x14ac:dyDescent="0.35">
      <c r="A24" s="60"/>
      <c r="B24" s="61"/>
      <c r="C24" s="61"/>
      <c r="D24" s="62"/>
      <c r="E24" s="62"/>
      <c r="F24" s="60"/>
      <c r="G24" s="60"/>
      <c r="H24" s="4"/>
      <c r="I24" s="4"/>
      <c r="J24" s="4"/>
      <c r="K24" s="4"/>
      <c r="L24" s="4"/>
    </row>
    <row r="25" spans="1:12" ht="14.5" x14ac:dyDescent="0.35">
      <c r="A25" s="60"/>
      <c r="B25" s="61"/>
      <c r="C25" s="61"/>
      <c r="D25" s="62"/>
      <c r="E25" s="62"/>
      <c r="F25" s="60"/>
      <c r="G25" s="60"/>
      <c r="H25" s="4"/>
      <c r="I25" s="4"/>
      <c r="J25" s="4"/>
      <c r="K25" s="4"/>
      <c r="L25" s="4"/>
    </row>
    <row r="26" spans="1:12" ht="14.5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4.5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4.5" x14ac:dyDescent="0.35">
      <c r="A28" s="6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4.5" x14ac:dyDescent="0.35">
      <c r="A29" s="55"/>
      <c r="B29" s="55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14.5" x14ac:dyDescent="0.35">
      <c r="A30" s="55"/>
      <c r="B30" s="55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14.5" x14ac:dyDescent="0.35">
      <c r="A31" s="55"/>
      <c r="B31" s="55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4.25" customHeight="1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14.25" customHeight="1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4.25" customHeight="1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14.25" customHeight="1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4.25" customHeight="1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14.25" customHeight="1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4.25" customHeight="1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14.25" customHeight="1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4.25" customHeight="1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BFB20-7C0C-431F-9AEA-6E4A399018AB}">
  <dimension ref="A1:L20"/>
  <sheetViews>
    <sheetView tabSelected="1" topLeftCell="A9" zoomScale="58" workbookViewId="0">
      <selection activeCell="G39" sqref="G39"/>
    </sheetView>
  </sheetViews>
  <sheetFormatPr defaultColWidth="8.6328125" defaultRowHeight="15" customHeight="1" x14ac:dyDescent="0.35"/>
  <cols>
    <col min="1" max="1" width="42" customWidth="1"/>
    <col min="2" max="5" width="18" customWidth="1"/>
    <col min="6" max="12" width="42" customWidth="1"/>
  </cols>
  <sheetData>
    <row r="1" spans="1:12" ht="17.5" x14ac:dyDescent="0.35">
      <c r="A1" s="70" t="s">
        <v>264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</row>
    <row r="2" spans="1:12" ht="14.5" x14ac:dyDescent="0.35">
      <c r="A2" s="72" t="s">
        <v>265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</row>
    <row r="3" spans="1:12" ht="15" customHeight="1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4.5" x14ac:dyDescent="0.35">
      <c r="A4" s="64" t="s">
        <v>168</v>
      </c>
      <c r="B4" s="64" t="s">
        <v>173</v>
      </c>
      <c r="C4" s="64" t="s">
        <v>174</v>
      </c>
      <c r="D4" s="64" t="s">
        <v>175</v>
      </c>
      <c r="E4" s="64" t="s">
        <v>176</v>
      </c>
      <c r="F4" s="64" t="s">
        <v>177</v>
      </c>
      <c r="G4" s="64" t="s">
        <v>178</v>
      </c>
      <c r="H4" s="64" t="s">
        <v>179</v>
      </c>
      <c r="I4" s="64" t="s">
        <v>169</v>
      </c>
      <c r="J4" s="64" t="s">
        <v>184</v>
      </c>
      <c r="K4" s="64" t="s">
        <v>170</v>
      </c>
      <c r="L4" s="64" t="s">
        <v>162</v>
      </c>
    </row>
    <row r="5" spans="1:12" ht="14.5" x14ac:dyDescent="0.35">
      <c r="A5" s="60" t="s">
        <v>180</v>
      </c>
      <c r="B5" s="65">
        <v>0.35</v>
      </c>
      <c r="C5" s="65">
        <v>0.35</v>
      </c>
      <c r="D5" s="65">
        <v>0.35</v>
      </c>
      <c r="E5" s="65">
        <v>0.04</v>
      </c>
      <c r="F5" s="66">
        <v>162000</v>
      </c>
      <c r="G5" s="66">
        <f t="shared" ref="G5:H7" si="0">F5*(1+B5)</f>
        <v>218700</v>
      </c>
      <c r="H5" s="66">
        <f t="shared" si="0"/>
        <v>295245</v>
      </c>
      <c r="I5" s="66">
        <v>67803.38</v>
      </c>
      <c r="J5" s="61">
        <f>I5/H5</f>
        <v>0.22965123880167321</v>
      </c>
      <c r="K5" s="66">
        <v>90933.788394340285</v>
      </c>
      <c r="L5" s="67">
        <v>3405.1282051282051</v>
      </c>
    </row>
    <row r="6" spans="1:12" ht="14.5" x14ac:dyDescent="0.35">
      <c r="A6" s="60" t="s">
        <v>181</v>
      </c>
      <c r="B6" s="65">
        <v>0.25</v>
      </c>
      <c r="C6" s="65">
        <v>0.25</v>
      </c>
      <c r="D6" s="65">
        <v>0.4</v>
      </c>
      <c r="E6" s="65">
        <v>0.05</v>
      </c>
      <c r="F6" s="66">
        <v>162000</v>
      </c>
      <c r="G6" s="66">
        <f t="shared" si="0"/>
        <v>202500</v>
      </c>
      <c r="H6" s="66">
        <f t="shared" si="0"/>
        <v>253125</v>
      </c>
      <c r="I6" s="66">
        <v>33689.51</v>
      </c>
      <c r="J6" s="61">
        <f>I6/H6</f>
        <v>0.13309436049382717</v>
      </c>
      <c r="K6" s="66">
        <v>31872.874869040679</v>
      </c>
      <c r="L6" s="67">
        <v>3688.8888888888887</v>
      </c>
    </row>
    <row r="7" spans="1:12" ht="14.5" x14ac:dyDescent="0.35">
      <c r="A7" s="60" t="s">
        <v>182</v>
      </c>
      <c r="B7" s="65">
        <v>0.1</v>
      </c>
      <c r="C7" s="65">
        <v>0.1</v>
      </c>
      <c r="D7" s="65">
        <v>0.45</v>
      </c>
      <c r="E7" s="65">
        <v>0.08</v>
      </c>
      <c r="F7" s="66">
        <v>162000</v>
      </c>
      <c r="G7" s="66">
        <f t="shared" si="0"/>
        <v>178200</v>
      </c>
      <c r="H7" s="66">
        <f t="shared" si="0"/>
        <v>196020.00000000003</v>
      </c>
      <c r="I7" s="66">
        <v>-7157.53</v>
      </c>
      <c r="J7" s="61">
        <f>I7/H7</f>
        <v>-3.6514284256708496E-2</v>
      </c>
      <c r="K7" s="66">
        <v>-42263.714698345284</v>
      </c>
      <c r="L7" s="67">
        <v>4024.2424242424236</v>
      </c>
    </row>
    <row r="8" spans="1:12" ht="14.5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</row>
    <row r="9" spans="1:12" ht="14.5" x14ac:dyDescent="0.35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</row>
    <row r="10" spans="1:12" ht="14.5" x14ac:dyDescent="0.35">
      <c r="A10" s="74" t="s">
        <v>183</v>
      </c>
      <c r="B10" s="74"/>
      <c r="C10" s="74"/>
      <c r="D10" s="74"/>
      <c r="E10" s="74"/>
      <c r="F10" s="74"/>
      <c r="G10" s="74"/>
      <c r="H10" s="74"/>
      <c r="I10" s="60"/>
      <c r="J10" s="60"/>
      <c r="K10" s="60"/>
      <c r="L10" s="60"/>
    </row>
    <row r="11" spans="1:12" ht="14.5" x14ac:dyDescent="0.35">
      <c r="A11" s="64" t="s">
        <v>168</v>
      </c>
      <c r="B11" s="64" t="s">
        <v>162</v>
      </c>
      <c r="C11" s="64" t="s">
        <v>163</v>
      </c>
      <c r="D11" s="64" t="s">
        <v>184</v>
      </c>
      <c r="E11" s="64" t="s">
        <v>170</v>
      </c>
      <c r="F11" s="64" t="s">
        <v>171</v>
      </c>
      <c r="G11" s="64" t="s">
        <v>185</v>
      </c>
      <c r="H11" s="64" t="s">
        <v>186</v>
      </c>
      <c r="I11" s="60"/>
      <c r="J11" s="60"/>
      <c r="K11" s="60"/>
      <c r="L11" s="60"/>
    </row>
    <row r="12" spans="1:12" ht="29" x14ac:dyDescent="0.35">
      <c r="A12" s="60" t="str">
        <f>A5</f>
        <v>Best</v>
      </c>
      <c r="B12" s="67">
        <v>3405.1282051282051</v>
      </c>
      <c r="C12" s="68">
        <v>153230.76923076922</v>
      </c>
      <c r="D12" s="61">
        <v>0.22965124561743552</v>
      </c>
      <c r="E12" s="66">
        <v>90933.788394340285</v>
      </c>
      <c r="F12" s="60" t="s">
        <v>272</v>
      </c>
      <c r="G12" s="60" t="s">
        <v>273</v>
      </c>
      <c r="H12" s="60" t="s">
        <v>266</v>
      </c>
      <c r="I12" s="60"/>
      <c r="J12" s="60"/>
      <c r="K12" s="60"/>
      <c r="L12" s="60"/>
    </row>
    <row r="13" spans="1:12" ht="43.5" x14ac:dyDescent="0.35">
      <c r="A13" s="60" t="str">
        <f>A6</f>
        <v>Base</v>
      </c>
      <c r="B13" s="67">
        <v>3688.8888888888887</v>
      </c>
      <c r="C13" s="68">
        <v>166000</v>
      </c>
      <c r="D13" s="61">
        <v>0.13309436488817689</v>
      </c>
      <c r="E13" s="66">
        <v>31872.874869040679</v>
      </c>
      <c r="F13" s="60" t="s">
        <v>272</v>
      </c>
      <c r="G13" s="60" t="s">
        <v>273</v>
      </c>
      <c r="H13" s="60" t="s">
        <v>267</v>
      </c>
      <c r="I13" s="60"/>
      <c r="J13" s="60"/>
      <c r="K13" s="60"/>
      <c r="L13" s="60"/>
    </row>
    <row r="14" spans="1:12" ht="43.5" x14ac:dyDescent="0.35">
      <c r="A14" s="60" t="str">
        <f>A7</f>
        <v>Worst</v>
      </c>
      <c r="B14" s="67">
        <v>4024.2424242424236</v>
      </c>
      <c r="C14" s="68">
        <v>181090.90909090906</v>
      </c>
      <c r="D14" s="61">
        <v>-3.6514260216713716E-2</v>
      </c>
      <c r="E14" s="66">
        <v>-42263.714698345284</v>
      </c>
      <c r="F14" s="60" t="s">
        <v>274</v>
      </c>
      <c r="G14" s="60" t="s">
        <v>275</v>
      </c>
      <c r="H14" s="60" t="s">
        <v>268</v>
      </c>
      <c r="I14" s="60"/>
      <c r="J14" s="60"/>
      <c r="K14" s="60"/>
      <c r="L14" s="60"/>
    </row>
    <row r="15" spans="1:12" ht="15" customHeight="1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5" customHeight="1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4.5" x14ac:dyDescent="0.35">
      <c r="A17" s="73" t="s">
        <v>187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</row>
    <row r="18" spans="1:12" ht="14.5" x14ac:dyDescent="0.35">
      <c r="A18" s="71" t="s">
        <v>188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</row>
    <row r="19" spans="1:12" ht="14.5" x14ac:dyDescent="0.35">
      <c r="A19" s="71" t="s">
        <v>189</v>
      </c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</row>
    <row r="20" spans="1:12" ht="14.5" x14ac:dyDescent="0.35">
      <c r="A20" s="71" t="s">
        <v>190</v>
      </c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</row>
  </sheetData>
  <mergeCells count="7">
    <mergeCell ref="A20:L20"/>
    <mergeCell ref="A1:L1"/>
    <mergeCell ref="A2:L2"/>
    <mergeCell ref="A10:H10"/>
    <mergeCell ref="A17:L17"/>
    <mergeCell ref="A18:L18"/>
    <mergeCell ref="A19:L19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Assumptions</vt:lpstr>
      <vt:lpstr>Startup Costs &amp; Use of Funds</vt:lpstr>
      <vt:lpstr>CashFlow_36m</vt:lpstr>
      <vt:lpstr>Funding Mix</vt:lpstr>
      <vt:lpstr>P&amp;L_3yr</vt:lpstr>
      <vt:lpstr>Break-Even</vt:lpstr>
      <vt:lpstr>KPIs_ByYear</vt:lpstr>
      <vt:lpstr>Dashboard</vt:lpstr>
      <vt:lpstr>Scenario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Vikrant Pachouri</dc:creator>
  <cp:lastModifiedBy>Vikrant Pachouri</cp:lastModifiedBy>
  <dcterms:created xsi:type="dcterms:W3CDTF">2026-09-09T06:18:09Z</dcterms:created>
  <dcterms:modified xsi:type="dcterms:W3CDTF">2026-09-12T12:32:35Z</dcterms:modified>
</cp:coreProperties>
</file>