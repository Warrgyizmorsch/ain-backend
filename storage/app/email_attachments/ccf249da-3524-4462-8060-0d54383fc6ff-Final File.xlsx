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Warrgyizmorsch\UKS60305\"/>
    </mc:Choice>
  </mc:AlternateContent>
  <xr:revisionPtr revIDLastSave="0" documentId="13_ncr:1_{A87E155E-37F2-441E-A8F3-28065D3B6387}" xr6:coauthVersionLast="47" xr6:coauthVersionMax="47" xr10:uidLastSave="{00000000-0000-0000-0000-000000000000}"/>
  <bookViews>
    <workbookView xWindow="-110" yWindow="-110" windowWidth="19420" windowHeight="11500" firstSheet="3" activeTab="6" xr2:uid="{00000000-000D-0000-FFFF-FFFF00000000}"/>
  </bookViews>
  <sheets>
    <sheet name="Assumptions" sheetId="1" r:id="rId1"/>
    <sheet name="Startup Costs &amp; Use of Funds" sheetId="2" r:id="rId2"/>
    <sheet name="CashFlow_36m" sheetId="3" r:id="rId3"/>
    <sheet name="Funding Mix" sheetId="4" r:id="rId4"/>
    <sheet name="P&amp;L_3yr" sheetId="5" r:id="rId5"/>
    <sheet name="Break-Even" sheetId="6" r:id="rId6"/>
    <sheet name="KPIs_ByYear" sheetId="7" r:id="rId7"/>
    <sheet name="Dashboard" sheetId="8" r:id="rId8"/>
    <sheet name="Scenario Analysi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4" i="9" l="1"/>
  <c r="A13" i="9"/>
  <c r="A12" i="9"/>
  <c r="L7" i="9"/>
  <c r="B14" i="9" s="1"/>
  <c r="C14" i="9" s="1"/>
  <c r="F7" i="9"/>
  <c r="G7" i="9" s="1"/>
  <c r="H7" i="9" s="1"/>
  <c r="F6" i="9"/>
  <c r="E6" i="9"/>
  <c r="D6" i="9"/>
  <c r="L6" i="9" s="1"/>
  <c r="B13" i="9" s="1"/>
  <c r="C13" i="9" s="1"/>
  <c r="C6" i="9"/>
  <c r="B6" i="9"/>
  <c r="L5" i="9"/>
  <c r="B12" i="9" s="1"/>
  <c r="C12" i="9" s="1"/>
  <c r="F5" i="9"/>
  <c r="G6" i="8"/>
  <c r="D13" i="7"/>
  <c r="D14" i="7" s="1"/>
  <c r="C13" i="7"/>
  <c r="B13" i="7"/>
  <c r="D12" i="7"/>
  <c r="C12" i="7"/>
  <c r="B12" i="7"/>
  <c r="C9" i="6"/>
  <c r="I51" i="6" s="1"/>
  <c r="C7" i="6"/>
  <c r="G4" i="6" s="1"/>
  <c r="C6" i="6"/>
  <c r="F4" i="6" s="1"/>
  <c r="E5" i="6"/>
  <c r="D8" i="4"/>
  <c r="B8" i="4"/>
  <c r="A8" i="4"/>
  <c r="D7" i="4"/>
  <c r="B7" i="4"/>
  <c r="A7" i="4"/>
  <c r="D6" i="4"/>
  <c r="B6" i="4"/>
  <c r="A6" i="4"/>
  <c r="D5" i="4"/>
  <c r="B5" i="4"/>
  <c r="A5" i="4"/>
  <c r="D4" i="4"/>
  <c r="B4" i="4"/>
  <c r="C7" i="4" s="1"/>
  <c r="A4" i="4"/>
  <c r="AK12" i="3"/>
  <c r="AJ12" i="3"/>
  <c r="AI12" i="3"/>
  <c r="AH12" i="3"/>
  <c r="AG12" i="3"/>
  <c r="AF12" i="3"/>
  <c r="AE12" i="3"/>
  <c r="AD12" i="3"/>
  <c r="AC12" i="3"/>
  <c r="AB12" i="3"/>
  <c r="AA12" i="3"/>
  <c r="Y12" i="3"/>
  <c r="X12" i="3"/>
  <c r="W12" i="3"/>
  <c r="V12" i="3"/>
  <c r="U12" i="3"/>
  <c r="T12" i="3"/>
  <c r="S12" i="3"/>
  <c r="R12" i="3"/>
  <c r="Q12" i="3"/>
  <c r="P12" i="3"/>
  <c r="O12" i="3"/>
  <c r="M12" i="3"/>
  <c r="L12" i="3"/>
  <c r="K12" i="3"/>
  <c r="J12" i="3"/>
  <c r="I12" i="3"/>
  <c r="H12" i="3"/>
  <c r="G12" i="3"/>
  <c r="F12" i="3"/>
  <c r="E12" i="3"/>
  <c r="D12" i="3"/>
  <c r="C12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AL7" i="3"/>
  <c r="AL8" i="3" s="1"/>
  <c r="AK7" i="3"/>
  <c r="AJ7" i="3"/>
  <c r="AI7" i="3"/>
  <c r="AH7" i="3"/>
  <c r="AH8" i="3" s="1"/>
  <c r="AG7" i="3"/>
  <c r="AG8" i="3" s="1"/>
  <c r="AF7" i="3"/>
  <c r="AF8" i="3" s="1"/>
  <c r="AE7" i="3"/>
  <c r="AE8" i="3" s="1"/>
  <c r="AD7" i="3"/>
  <c r="AD8" i="3" s="1"/>
  <c r="AC7" i="3"/>
  <c r="AB7" i="3"/>
  <c r="AA7" i="3"/>
  <c r="Z7" i="3"/>
  <c r="Z8" i="3" s="1"/>
  <c r="Y7" i="3"/>
  <c r="Y8" i="3" s="1"/>
  <c r="X7" i="3"/>
  <c r="X8" i="3" s="1"/>
  <c r="W7" i="3"/>
  <c r="W8" i="3" s="1"/>
  <c r="V7" i="3"/>
  <c r="V8" i="3" s="1"/>
  <c r="U7" i="3"/>
  <c r="T7" i="3"/>
  <c r="S7" i="3"/>
  <c r="R7" i="3"/>
  <c r="Q7" i="3"/>
  <c r="Q8" i="3" s="1"/>
  <c r="P7" i="3"/>
  <c r="P8" i="3" s="1"/>
  <c r="O7" i="3"/>
  <c r="O8" i="3" s="1"/>
  <c r="N7" i="3"/>
  <c r="N8" i="3" s="1"/>
  <c r="M7" i="3"/>
  <c r="L7" i="3"/>
  <c r="K7" i="3"/>
  <c r="J7" i="3"/>
  <c r="I7" i="3"/>
  <c r="I8" i="3" s="1"/>
  <c r="H7" i="3"/>
  <c r="H8" i="3" s="1"/>
  <c r="G7" i="3"/>
  <c r="G8" i="3" s="1"/>
  <c r="F7" i="3"/>
  <c r="F8" i="3" s="1"/>
  <c r="E7" i="3"/>
  <c r="D7" i="3"/>
  <c r="C7" i="3"/>
  <c r="B15" i="2"/>
  <c r="G5" i="8" s="1"/>
  <c r="D9" i="5"/>
  <c r="D8" i="7" s="1"/>
  <c r="C9" i="5"/>
  <c r="C8" i="7" s="1"/>
  <c r="B9" i="5"/>
  <c r="B8" i="7" s="1"/>
  <c r="B7" i="5"/>
  <c r="C7" i="5" s="1"/>
  <c r="B4" i="5"/>
  <c r="B4" i="7" s="1"/>
  <c r="I18" i="6" l="1"/>
  <c r="I50" i="6"/>
  <c r="C14" i="7"/>
  <c r="G5" i="6"/>
  <c r="C8" i="4"/>
  <c r="B9" i="4"/>
  <c r="G4" i="8" s="1"/>
  <c r="G14" i="8" s="1"/>
  <c r="C4" i="4"/>
  <c r="C6" i="4"/>
  <c r="C5" i="4"/>
  <c r="G6" i="9"/>
  <c r="H6" i="9" s="1"/>
  <c r="I16" i="6"/>
  <c r="I48" i="6"/>
  <c r="C43" i="3"/>
  <c r="D45" i="3"/>
  <c r="I24" i="6"/>
  <c r="I26" i="6"/>
  <c r="I32" i="6"/>
  <c r="AH13" i="3"/>
  <c r="I34" i="6"/>
  <c r="B14" i="7"/>
  <c r="G9" i="8" s="1"/>
  <c r="J8" i="3"/>
  <c r="J13" i="3" s="1"/>
  <c r="E43" i="3"/>
  <c r="I40" i="6"/>
  <c r="R8" i="3"/>
  <c r="R13" i="3" s="1"/>
  <c r="I42" i="6"/>
  <c r="D7" i="5"/>
  <c r="D7" i="7" s="1"/>
  <c r="C7" i="7"/>
  <c r="H4" i="6"/>
  <c r="C8" i="3"/>
  <c r="C13" i="3" s="1"/>
  <c r="K8" i="3"/>
  <c r="K13" i="3" s="1"/>
  <c r="S8" i="3"/>
  <c r="S13" i="3" s="1"/>
  <c r="AA8" i="3"/>
  <c r="AA13" i="3" s="1"/>
  <c r="AI8" i="3"/>
  <c r="AI13" i="3" s="1"/>
  <c r="F13" i="3"/>
  <c r="V13" i="3"/>
  <c r="AD13" i="3"/>
  <c r="G43" i="3"/>
  <c r="B7" i="7"/>
  <c r="D8" i="3"/>
  <c r="D13" i="3" s="1"/>
  <c r="L8" i="3"/>
  <c r="L13" i="3" s="1"/>
  <c r="T8" i="3"/>
  <c r="T13" i="3" s="1"/>
  <c r="AB8" i="3"/>
  <c r="AB13" i="3" s="1"/>
  <c r="AJ8" i="3"/>
  <c r="AJ13" i="3" s="1"/>
  <c r="G13" i="3"/>
  <c r="O13" i="3"/>
  <c r="W13" i="3"/>
  <c r="AE13" i="3"/>
  <c r="B45" i="3"/>
  <c r="B11" i="4"/>
  <c r="C8" i="6"/>
  <c r="C11" i="6" s="1"/>
  <c r="I17" i="6"/>
  <c r="I25" i="6"/>
  <c r="I33" i="6"/>
  <c r="I41" i="6"/>
  <c r="I49" i="6"/>
  <c r="E8" i="3"/>
  <c r="E13" i="3" s="1"/>
  <c r="M8" i="3"/>
  <c r="M13" i="3" s="1"/>
  <c r="U8" i="3"/>
  <c r="U13" i="3" s="1"/>
  <c r="AC8" i="3"/>
  <c r="AC13" i="3" s="1"/>
  <c r="AK8" i="3"/>
  <c r="AK13" i="3" s="1"/>
  <c r="H13" i="3"/>
  <c r="P13" i="3"/>
  <c r="X13" i="3"/>
  <c r="AF13" i="3"/>
  <c r="C45" i="3"/>
  <c r="E6" i="6"/>
  <c r="B6" i="3"/>
  <c r="I13" i="3"/>
  <c r="Q13" i="3"/>
  <c r="Y13" i="3"/>
  <c r="AG13" i="3"/>
  <c r="F5" i="6"/>
  <c r="I14" i="6"/>
  <c r="I15" i="6"/>
  <c r="I23" i="6"/>
  <c r="I31" i="6"/>
  <c r="I39" i="6"/>
  <c r="I47" i="6"/>
  <c r="B5" i="8"/>
  <c r="G5" i="9"/>
  <c r="H5" i="9" s="1"/>
  <c r="C4" i="5"/>
  <c r="B5" i="5"/>
  <c r="I13" i="6"/>
  <c r="I22" i="6"/>
  <c r="I30" i="6"/>
  <c r="I38" i="6"/>
  <c r="I46" i="6"/>
  <c r="I54" i="6"/>
  <c r="I10" i="6"/>
  <c r="I11" i="6"/>
  <c r="I12" i="6"/>
  <c r="I21" i="6"/>
  <c r="I29" i="6"/>
  <c r="I37" i="6"/>
  <c r="I45" i="6"/>
  <c r="I53" i="6"/>
  <c r="I5" i="6"/>
  <c r="J5" i="6" s="1"/>
  <c r="I6" i="6"/>
  <c r="I7" i="6"/>
  <c r="I8" i="6"/>
  <c r="I9" i="6"/>
  <c r="I20" i="6"/>
  <c r="I28" i="6"/>
  <c r="I36" i="6"/>
  <c r="I44" i="6"/>
  <c r="I52" i="6"/>
  <c r="I4" i="6"/>
  <c r="J4" i="6" s="1"/>
  <c r="K4" i="6" s="1"/>
  <c r="I19" i="6"/>
  <c r="I27" i="6"/>
  <c r="I35" i="6"/>
  <c r="I43" i="6"/>
  <c r="K5" i="9" l="1"/>
  <c r="E12" i="9" s="1"/>
  <c r="F12" i="9" s="1"/>
  <c r="I5" i="9"/>
  <c r="D11" i="4"/>
  <c r="G10" i="8" s="1"/>
  <c r="B12" i="4"/>
  <c r="I6" i="9"/>
  <c r="J6" i="9" s="1"/>
  <c r="D13" i="9" s="1"/>
  <c r="B5" i="3"/>
  <c r="B13" i="3" s="1"/>
  <c r="B14" i="3" s="1"/>
  <c r="C4" i="3" s="1"/>
  <c r="C14" i="3" s="1"/>
  <c r="D4" i="3" s="1"/>
  <c r="D14" i="3" s="1"/>
  <c r="E4" i="3" s="1"/>
  <c r="E14" i="3" s="1"/>
  <c r="F4" i="3" s="1"/>
  <c r="F14" i="3" s="1"/>
  <c r="G4" i="3" s="1"/>
  <c r="G14" i="3" s="1"/>
  <c r="H4" i="3" s="1"/>
  <c r="H14" i="3" s="1"/>
  <c r="I4" i="3" s="1"/>
  <c r="I14" i="3" s="1"/>
  <c r="J4" i="3" s="1"/>
  <c r="J14" i="3" s="1"/>
  <c r="K4" i="3" s="1"/>
  <c r="K14" i="3" s="1"/>
  <c r="L4" i="3" s="1"/>
  <c r="L14" i="3" s="1"/>
  <c r="M4" i="3" s="1"/>
  <c r="M14" i="3" s="1"/>
  <c r="N4" i="3" s="1"/>
  <c r="B17" i="2"/>
  <c r="I7" i="9"/>
  <c r="G14" i="9" s="1"/>
  <c r="G13" i="9"/>
  <c r="K7" i="9"/>
  <c r="E14" i="9" s="1"/>
  <c r="F14" i="9" s="1"/>
  <c r="H5" i="6"/>
  <c r="K5" i="6"/>
  <c r="J5" i="9"/>
  <c r="D12" i="9" s="1"/>
  <c r="G12" i="9"/>
  <c r="G7" i="8"/>
  <c r="B16" i="7"/>
  <c r="C12" i="6"/>
  <c r="B5" i="7"/>
  <c r="B6" i="5"/>
  <c r="G6" i="6"/>
  <c r="J6" i="6" s="1"/>
  <c r="F6" i="6"/>
  <c r="E7" i="6"/>
  <c r="K6" i="9"/>
  <c r="E13" i="9" s="1"/>
  <c r="F13" i="9" s="1"/>
  <c r="C5" i="5"/>
  <c r="C5" i="7" s="1"/>
  <c r="C5" i="8"/>
  <c r="D4" i="5"/>
  <c r="C4" i="7"/>
  <c r="J7" i="9" l="1"/>
  <c r="D14" i="9" s="1"/>
  <c r="G17" i="8"/>
  <c r="G7" i="6"/>
  <c r="J7" i="6" s="1"/>
  <c r="F7" i="6"/>
  <c r="E8" i="6"/>
  <c r="D5" i="5"/>
  <c r="D5" i="7" s="1"/>
  <c r="D5" i="8"/>
  <c r="G15" i="8" s="1"/>
  <c r="D4" i="7"/>
  <c r="G8" i="8"/>
  <c r="B17" i="7"/>
  <c r="H6" i="6"/>
  <c r="K6" i="6"/>
  <c r="B6" i="8"/>
  <c r="B6" i="7"/>
  <c r="B8" i="5"/>
  <c r="B10" i="7"/>
  <c r="B9" i="8" s="1"/>
  <c r="C6" i="5"/>
  <c r="B15" i="6"/>
  <c r="D6" i="5" l="1"/>
  <c r="B7" i="8"/>
  <c r="B10" i="5"/>
  <c r="D6" i="7"/>
  <c r="D10" i="7"/>
  <c r="D9" i="8" s="1"/>
  <c r="D6" i="8"/>
  <c r="D8" i="5"/>
  <c r="H7" i="6"/>
  <c r="K7" i="6"/>
  <c r="G8" i="6"/>
  <c r="J8" i="6" s="1"/>
  <c r="F8" i="6"/>
  <c r="E9" i="6"/>
  <c r="C6" i="7"/>
  <c r="C8" i="5"/>
  <c r="C10" i="7"/>
  <c r="C9" i="8" s="1"/>
  <c r="C6" i="8"/>
  <c r="D7" i="8" l="1"/>
  <c r="D10" i="5"/>
  <c r="G9" i="6"/>
  <c r="J9" i="6" s="1"/>
  <c r="F9" i="6"/>
  <c r="E10" i="6"/>
  <c r="H8" i="6"/>
  <c r="K8" i="6"/>
  <c r="B11" i="5"/>
  <c r="N12" i="3" s="1"/>
  <c r="N13" i="3" s="1"/>
  <c r="N14" i="3" s="1"/>
  <c r="C7" i="8"/>
  <c r="C10" i="5"/>
  <c r="B11" i="8" l="1"/>
  <c r="O4" i="3"/>
  <c r="O14" i="3" s="1"/>
  <c r="P4" i="3" s="1"/>
  <c r="P14" i="3" s="1"/>
  <c r="Q4" i="3" s="1"/>
  <c r="Q14" i="3" s="1"/>
  <c r="R4" i="3" s="1"/>
  <c r="R14" i="3" s="1"/>
  <c r="S4" i="3" s="1"/>
  <c r="S14" i="3" s="1"/>
  <c r="T4" i="3" s="1"/>
  <c r="T14" i="3" s="1"/>
  <c r="U4" i="3" s="1"/>
  <c r="U14" i="3" s="1"/>
  <c r="V4" i="3" s="1"/>
  <c r="V14" i="3" s="1"/>
  <c r="W4" i="3" s="1"/>
  <c r="W14" i="3" s="1"/>
  <c r="X4" i="3" s="1"/>
  <c r="X14" i="3" s="1"/>
  <c r="Y4" i="3" s="1"/>
  <c r="Y14" i="3" s="1"/>
  <c r="Z4" i="3" s="1"/>
  <c r="G10" i="6"/>
  <c r="J10" i="6" s="1"/>
  <c r="F10" i="6"/>
  <c r="E11" i="6"/>
  <c r="D11" i="5"/>
  <c r="AL12" i="3" s="1"/>
  <c r="AL13" i="3" s="1"/>
  <c r="H9" i="6"/>
  <c r="K9" i="6"/>
  <c r="C11" i="5"/>
  <c r="Z12" i="3" s="1"/>
  <c r="Z13" i="3" s="1"/>
  <c r="B12" i="5"/>
  <c r="D12" i="5" l="1"/>
  <c r="G11" i="6"/>
  <c r="J11" i="6" s="1"/>
  <c r="F11" i="6"/>
  <c r="E12" i="6"/>
  <c r="K10" i="6"/>
  <c r="H10" i="6"/>
  <c r="C12" i="5"/>
  <c r="Z14" i="3"/>
  <c r="B8" i="8"/>
  <c r="B9" i="7"/>
  <c r="B11" i="7"/>
  <c r="B10" i="8" s="1"/>
  <c r="AA4" i="3" l="1"/>
  <c r="AA14" i="3" s="1"/>
  <c r="AB4" i="3" s="1"/>
  <c r="AB14" i="3" s="1"/>
  <c r="AC4" i="3" s="1"/>
  <c r="AC14" i="3" s="1"/>
  <c r="AD4" i="3" s="1"/>
  <c r="AD14" i="3" s="1"/>
  <c r="AE4" i="3" s="1"/>
  <c r="AE14" i="3" s="1"/>
  <c r="AF4" i="3" s="1"/>
  <c r="AF14" i="3" s="1"/>
  <c r="AG4" i="3" s="1"/>
  <c r="AG14" i="3" s="1"/>
  <c r="AH4" i="3" s="1"/>
  <c r="AH14" i="3" s="1"/>
  <c r="AI4" i="3" s="1"/>
  <c r="AI14" i="3" s="1"/>
  <c r="AJ4" i="3" s="1"/>
  <c r="AJ14" i="3" s="1"/>
  <c r="AK4" i="3" s="1"/>
  <c r="AK14" i="3" s="1"/>
  <c r="AL4" i="3" s="1"/>
  <c r="AL14" i="3" s="1"/>
  <c r="D11" i="8" s="1"/>
  <c r="C11" i="8"/>
  <c r="K11" i="6"/>
  <c r="H11" i="6"/>
  <c r="C9" i="7"/>
  <c r="C11" i="7"/>
  <c r="C10" i="8" s="1"/>
  <c r="C8" i="8"/>
  <c r="G12" i="6"/>
  <c r="J12" i="6" s="1"/>
  <c r="F12" i="6"/>
  <c r="E13" i="6"/>
  <c r="D11" i="7"/>
  <c r="D10" i="8" s="1"/>
  <c r="D8" i="8"/>
  <c r="D9" i="7"/>
  <c r="G16" i="8" l="1"/>
  <c r="E14" i="6"/>
  <c r="G13" i="6"/>
  <c r="J13" i="6" s="1"/>
  <c r="F13" i="6"/>
  <c r="K12" i="6"/>
  <c r="H12" i="6"/>
  <c r="K13" i="6" l="1"/>
  <c r="H13" i="6"/>
  <c r="E15" i="6"/>
  <c r="G14" i="6"/>
  <c r="J14" i="6" s="1"/>
  <c r="F14" i="6"/>
  <c r="K14" i="6" l="1"/>
  <c r="H14" i="6"/>
  <c r="E16" i="6"/>
  <c r="G15" i="6"/>
  <c r="J15" i="6" s="1"/>
  <c r="F15" i="6"/>
  <c r="K15" i="6" l="1"/>
  <c r="H15" i="6"/>
  <c r="F16" i="6"/>
  <c r="E17" i="6"/>
  <c r="G16" i="6"/>
  <c r="J16" i="6" s="1"/>
  <c r="G17" i="6" l="1"/>
  <c r="J17" i="6" s="1"/>
  <c r="F17" i="6"/>
  <c r="E18" i="6"/>
  <c r="K16" i="6"/>
  <c r="H16" i="6"/>
  <c r="G18" i="6" l="1"/>
  <c r="J18" i="6" s="1"/>
  <c r="F18" i="6"/>
  <c r="E19" i="6"/>
  <c r="K17" i="6"/>
  <c r="H17" i="6"/>
  <c r="G19" i="6" l="1"/>
  <c r="J19" i="6" s="1"/>
  <c r="F19" i="6"/>
  <c r="E20" i="6"/>
  <c r="H18" i="6"/>
  <c r="K18" i="6"/>
  <c r="G20" i="6" l="1"/>
  <c r="J20" i="6" s="1"/>
  <c r="F20" i="6"/>
  <c r="E21" i="6"/>
  <c r="H19" i="6"/>
  <c r="K19" i="6"/>
  <c r="G21" i="6" l="1"/>
  <c r="J21" i="6" s="1"/>
  <c r="F21" i="6"/>
  <c r="E22" i="6"/>
  <c r="H20" i="6"/>
  <c r="K20" i="6"/>
  <c r="E23" i="6" l="1"/>
  <c r="G22" i="6"/>
  <c r="J22" i="6" s="1"/>
  <c r="F22" i="6"/>
  <c r="K21" i="6"/>
  <c r="H21" i="6"/>
  <c r="K22" i="6" l="1"/>
  <c r="H22" i="6"/>
  <c r="E24" i="6"/>
  <c r="G23" i="6"/>
  <c r="J23" i="6" s="1"/>
  <c r="F23" i="6"/>
  <c r="K23" i="6" l="1"/>
  <c r="H23" i="6"/>
  <c r="F24" i="6"/>
  <c r="E25" i="6"/>
  <c r="G24" i="6"/>
  <c r="J24" i="6" s="1"/>
  <c r="G25" i="6" l="1"/>
  <c r="J25" i="6" s="1"/>
  <c r="F25" i="6"/>
  <c r="E26" i="6"/>
  <c r="K24" i="6"/>
  <c r="H24" i="6"/>
  <c r="G26" i="6" l="1"/>
  <c r="J26" i="6" s="1"/>
  <c r="F26" i="6"/>
  <c r="E27" i="6"/>
  <c r="K25" i="6"/>
  <c r="H25" i="6"/>
  <c r="G27" i="6" l="1"/>
  <c r="J27" i="6" s="1"/>
  <c r="F27" i="6"/>
  <c r="E28" i="6"/>
  <c r="H26" i="6"/>
  <c r="K26" i="6"/>
  <c r="G28" i="6" l="1"/>
  <c r="J28" i="6" s="1"/>
  <c r="F28" i="6"/>
  <c r="E29" i="6"/>
  <c r="H27" i="6"/>
  <c r="K27" i="6"/>
  <c r="G29" i="6" l="1"/>
  <c r="J29" i="6" s="1"/>
  <c r="F29" i="6"/>
  <c r="E30" i="6"/>
  <c r="H28" i="6"/>
  <c r="K28" i="6"/>
  <c r="E31" i="6" l="1"/>
  <c r="G30" i="6"/>
  <c r="J30" i="6" s="1"/>
  <c r="F30" i="6"/>
  <c r="K29" i="6"/>
  <c r="H29" i="6"/>
  <c r="K30" i="6" l="1"/>
  <c r="H30" i="6"/>
  <c r="E32" i="6"/>
  <c r="G31" i="6"/>
  <c r="J31" i="6" s="1"/>
  <c r="F31" i="6"/>
  <c r="K31" i="6" l="1"/>
  <c r="H31" i="6"/>
  <c r="F32" i="6"/>
  <c r="E33" i="6"/>
  <c r="G32" i="6"/>
  <c r="J32" i="6" s="1"/>
  <c r="G33" i="6" l="1"/>
  <c r="J33" i="6" s="1"/>
  <c r="F33" i="6"/>
  <c r="E34" i="6"/>
  <c r="K32" i="6"/>
  <c r="H32" i="6"/>
  <c r="G34" i="6" l="1"/>
  <c r="J34" i="6" s="1"/>
  <c r="F34" i="6"/>
  <c r="E35" i="6"/>
  <c r="K33" i="6"/>
  <c r="H33" i="6"/>
  <c r="G35" i="6" l="1"/>
  <c r="J35" i="6" s="1"/>
  <c r="F35" i="6"/>
  <c r="E36" i="6"/>
  <c r="H34" i="6"/>
  <c r="K34" i="6"/>
  <c r="G36" i="6" l="1"/>
  <c r="J36" i="6" s="1"/>
  <c r="F36" i="6"/>
  <c r="E37" i="6"/>
  <c r="H35" i="6"/>
  <c r="K35" i="6"/>
  <c r="G37" i="6" l="1"/>
  <c r="J37" i="6" s="1"/>
  <c r="F37" i="6"/>
  <c r="E38" i="6"/>
  <c r="H36" i="6"/>
  <c r="K36" i="6"/>
  <c r="E39" i="6" l="1"/>
  <c r="G38" i="6"/>
  <c r="J38" i="6" s="1"/>
  <c r="F38" i="6"/>
  <c r="K37" i="6"/>
  <c r="H37" i="6"/>
  <c r="K38" i="6" l="1"/>
  <c r="H38" i="6"/>
  <c r="E40" i="6"/>
  <c r="G39" i="6"/>
  <c r="J39" i="6" s="1"/>
  <c r="F39" i="6"/>
  <c r="K39" i="6" l="1"/>
  <c r="H39" i="6"/>
  <c r="F40" i="6"/>
  <c r="E41" i="6"/>
  <c r="G40" i="6"/>
  <c r="J40" i="6" s="1"/>
  <c r="G41" i="6" l="1"/>
  <c r="J41" i="6" s="1"/>
  <c r="F41" i="6"/>
  <c r="E42" i="6"/>
  <c r="K40" i="6"/>
  <c r="H40" i="6"/>
  <c r="G42" i="6" l="1"/>
  <c r="J42" i="6" s="1"/>
  <c r="F42" i="6"/>
  <c r="E43" i="6"/>
  <c r="K41" i="6"/>
  <c r="H41" i="6"/>
  <c r="G43" i="6" l="1"/>
  <c r="J43" i="6" s="1"/>
  <c r="F43" i="6"/>
  <c r="E44" i="6"/>
  <c r="H42" i="6"/>
  <c r="K42" i="6"/>
  <c r="G44" i="6" l="1"/>
  <c r="J44" i="6" s="1"/>
  <c r="F44" i="6"/>
  <c r="E45" i="6"/>
  <c r="H43" i="6"/>
  <c r="K43" i="6"/>
  <c r="G45" i="6" l="1"/>
  <c r="J45" i="6" s="1"/>
  <c r="F45" i="6"/>
  <c r="E46" i="6"/>
  <c r="H44" i="6"/>
  <c r="K44" i="6"/>
  <c r="E47" i="6" l="1"/>
  <c r="G46" i="6"/>
  <c r="J46" i="6" s="1"/>
  <c r="F46" i="6"/>
  <c r="K45" i="6"/>
  <c r="H45" i="6"/>
  <c r="K46" i="6" l="1"/>
  <c r="H46" i="6"/>
  <c r="E48" i="6"/>
  <c r="G47" i="6"/>
  <c r="J47" i="6" s="1"/>
  <c r="F47" i="6"/>
  <c r="K47" i="6" l="1"/>
  <c r="H47" i="6"/>
  <c r="F48" i="6"/>
  <c r="E49" i="6"/>
  <c r="G48" i="6"/>
  <c r="J48" i="6" s="1"/>
  <c r="G49" i="6" l="1"/>
  <c r="J49" i="6" s="1"/>
  <c r="F49" i="6"/>
  <c r="E50" i="6"/>
  <c r="K48" i="6"/>
  <c r="H48" i="6"/>
  <c r="G50" i="6" l="1"/>
  <c r="J50" i="6" s="1"/>
  <c r="F50" i="6"/>
  <c r="E51" i="6"/>
  <c r="K49" i="6"/>
  <c r="H49" i="6"/>
  <c r="G51" i="6" l="1"/>
  <c r="J51" i="6" s="1"/>
  <c r="F51" i="6"/>
  <c r="E52" i="6"/>
  <c r="H50" i="6"/>
  <c r="K50" i="6"/>
  <c r="G52" i="6" l="1"/>
  <c r="J52" i="6" s="1"/>
  <c r="F52" i="6"/>
  <c r="E53" i="6"/>
  <c r="H51" i="6"/>
  <c r="K51" i="6"/>
  <c r="H52" i="6" l="1"/>
  <c r="K52" i="6"/>
  <c r="G53" i="6"/>
  <c r="J53" i="6" s="1"/>
  <c r="F53" i="6"/>
  <c r="E54" i="6"/>
  <c r="G54" i="6" l="1"/>
  <c r="J54" i="6" s="1"/>
  <c r="F54" i="6"/>
  <c r="K53" i="6"/>
  <c r="H53" i="6"/>
  <c r="K54" i="6" l="1"/>
  <c r="H5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1" authorId="0" shapeId="0" xr:uid="{D4D7D5D2-DD17-4E9A-9D67-504C31005702}">
      <text>
        <r>
          <rPr>
            <sz val="10"/>
            <rFont val="Arial"/>
            <family val="2"/>
          </rPr>
          <t>Base-case planning assumption: average order value is £50.</t>
        </r>
      </text>
    </comment>
    <comment ref="B12" authorId="0" shapeId="0" xr:uid="{704B09F1-5FFA-4F6C-B1E0-41849979B661}">
      <text>
        <r>
          <rPr>
            <sz val="10"/>
            <rFont val="Arial"/>
            <family val="2"/>
          </rPr>
          <t>Base-case planning assumption: 250 orders per month in Year 1.</t>
        </r>
      </text>
    </comment>
    <comment ref="B13" authorId="0" shapeId="0" xr:uid="{7D5371C4-70EB-45BA-9164-0C10ADFD5BBD}">
      <text>
        <r>
          <rPr>
            <sz val="10"/>
            <rFont val="Arial"/>
            <family val="2"/>
          </rPr>
          <t>25% annual revenue growth is used so the model reconciles with the report's 25% customer-growth assumption under stable pricing/order economics.</t>
        </r>
      </text>
    </comment>
    <comment ref="B14" authorId="0" shapeId="0" xr:uid="{6D49AC44-E3DA-47BA-AB8C-2E92440DF6E1}">
      <text>
        <r>
          <rPr>
            <sz val="10"/>
            <rFont val="Arial"/>
            <family val="2"/>
          </rPr>
          <t>25% annual revenue growth, maintaining the same base-case growth logic.</t>
        </r>
      </text>
    </comment>
    <comment ref="B18" authorId="0" shapeId="0" xr:uid="{09351148-6CE0-4D3A-A571-1D605E0BD9B6}">
      <text>
        <r>
          <rPr>
            <sz val="10"/>
            <rFont val="Arial"/>
            <family val="2"/>
          </rPr>
          <t>Base-case COGS assumption: 45% of revenue; implies 55% gross margin.</t>
        </r>
      </text>
    </comment>
    <comment ref="B28" authorId="0" shapeId="0" xr:uid="{5176BC61-CEBB-4E5E-8C70-BA7F32266D04}">
      <text>
        <r>
          <rPr>
            <sz val="10"/>
            <rFont val="Arial"/>
            <family val="2"/>
          </rPr>
          <t>Operating expenses grow by 5% annually.</t>
        </r>
      </text>
    </comment>
    <comment ref="B29" authorId="0" shapeId="0" xr:uid="{7B4604A9-53F7-45E1-8889-E7834D35B251}">
      <text>
        <r>
          <rPr>
            <sz val="10"/>
            <rFont val="Arial"/>
            <family val="2"/>
          </rPr>
          <t>Operating expenses grow by 5% annually.</t>
        </r>
      </text>
    </comment>
    <comment ref="B45" authorId="0" shapeId="0" xr:uid="{D08DA532-D065-444B-A1E3-EBA4D3E91F92}">
      <text>
        <r>
          <rPr>
            <sz val="10"/>
            <rFont val="Arial"/>
            <family val="2"/>
          </rPr>
          <t>75% customer retention assumption for the illustrative LTV calculation.</t>
        </r>
      </text>
    </comment>
    <comment ref="B46" authorId="0" shapeId="0" xr:uid="{2EC47438-7FFE-44D1-AF88-E06352243D34}">
      <text>
        <r>
          <rPr>
            <sz val="10"/>
            <rFont val="Arial"/>
            <family val="2"/>
          </rPr>
          <t>£50 average order × 12 months = £600 annual customer spend.</t>
        </r>
      </text>
    </comment>
    <comment ref="B47" authorId="0" shapeId="0" xr:uid="{1D97144E-D3B5-49EC-A254-6B86FC23E807}">
      <text>
        <r>
          <rPr>
            <sz val="10"/>
            <rFont val="Arial"/>
            <family val="2"/>
          </rPr>
          <t>45% service/product cost × £600 annual customer spend = £270.</t>
        </r>
      </text>
    </comment>
    <comment ref="B48" authorId="0" shapeId="0" xr:uid="{2A1C6098-ABFB-4EB0-87A1-B65085128C18}">
      <text>
        <r>
          <rPr>
            <sz val="10"/>
            <rFont val="Arial"/>
            <family val="2"/>
          </rPr>
          <t>300 new customers per year used for illustrative CAC calculation.</t>
        </r>
      </text>
    </comment>
    <comment ref="B49" authorId="0" shapeId="0" xr:uid="{452D8076-FE21-45B7-A672-2DFE332DCBDE}">
      <text>
        <r>
          <rPr>
            <sz val="10"/>
            <rFont val="Arial"/>
            <family val="2"/>
          </rPr>
          <t>Year 1 marketing budget: £1,200 per month × 12 = £14,400.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5" authorId="0" shapeId="0" xr:uid="{00000000-0006-0000-0800-000001000000}">
      <text>
        <r>
          <rPr>
            <sz val="10"/>
            <rFont val="Arial"/>
            <family val="2"/>
          </rPr>
          <t>Editable sensitivity input. Chosen as an upside planning case around the 25% base growth assumption; not a market forecast.</t>
        </r>
      </text>
    </comment>
    <comment ref="D5" authorId="0" shapeId="0" xr:uid="{00000000-0006-0000-0800-000003000000}">
      <text>
        <r>
          <rPr>
            <sz val="10"/>
            <rFont val="Arial"/>
            <family val="2"/>
          </rPr>
          <t>Editable sensitivity input. Lower COGS represents improved procurement/product mix in the upside case.</t>
        </r>
      </text>
    </comment>
    <comment ref="B7" authorId="0" shapeId="0" xr:uid="{00000000-0006-0000-0800-000002000000}">
      <text>
        <r>
          <rPr>
            <sz val="10"/>
            <rFont val="Arial"/>
            <family val="2"/>
          </rPr>
          <t>Editable downside sensitivity input. Tests demand weakness against the base case.</t>
        </r>
      </text>
    </comment>
    <comment ref="D7" authorId="0" shapeId="0" xr:uid="{00000000-0006-0000-0800-000004000000}">
      <text>
        <r>
          <rPr>
            <sz val="10"/>
            <rFont val="Arial"/>
            <family val="2"/>
          </rPr>
          <t>Editable sensitivity input. Higher COGS represents supplier/input-cost pressure in the downside case.</t>
        </r>
      </text>
    </comment>
  </commentList>
</comments>
</file>

<file path=xl/sharedStrings.xml><?xml version="1.0" encoding="utf-8"?>
<sst xmlns="http://schemas.openxmlformats.org/spreadsheetml/2006/main" count="318" uniqueCount="270">
  <si>
    <t>The Cake &amp; Crumb Co. UK – Financial Assumptions</t>
  </si>
  <si>
    <t>Venture Profile</t>
  </si>
  <si>
    <t>Item</t>
  </si>
  <si>
    <t>Value</t>
  </si>
  <si>
    <t>Business Name</t>
  </si>
  <si>
    <t>The Cake &amp; Crumb Co. UK</t>
  </si>
  <si>
    <t>Sector</t>
  </si>
  <si>
    <t>Online bakery, celebration cakes and local delivery</t>
  </si>
  <si>
    <t>Currency</t>
  </si>
  <si>
    <t>GBP (£)</t>
  </si>
  <si>
    <t>Pricing &amp; Sales Volume</t>
  </si>
  <si>
    <t>Average Price per Order (£)</t>
  </si>
  <si>
    <t>Planning blended order value across celebration cakes, cupcakes and bakery boxes.</t>
  </si>
  <si>
    <t>Planning price assumption used consistently to derive revenue and unit economics.</t>
  </si>
  <si>
    <t>Average Orders per Month (Year 1)</t>
  </si>
  <si>
    <t>£45 average order × 300 orders/month × 12 = £162,000 Year-1 revenue.</t>
  </si>
  <si>
    <t>Report forecast implies £150,000 Year-1 revenue; £50/order × 250 orders/month × 12 = £150,000.</t>
  </si>
  <si>
    <t>Year 2 Revenue Growth (%)</t>
  </si>
  <si>
    <t>Base-case revenue growth assumption applied consistently to the forecast.</t>
  </si>
  <si>
    <t>Report states 25% annual customer growth; under stable average order value, revenue is modelled to grow 25%.</t>
  </si>
  <si>
    <t>Year 3 Revenue Growth (%)</t>
  </si>
  <si>
    <t>Base-case revenue growth assumption; maintains forecast consistency.</t>
  </si>
  <si>
    <t>Same logic as Year 2: stable price/order economics means revenue follows the stated 25% growth assumption.</t>
  </si>
  <si>
    <t>Cost of Goods</t>
  </si>
  <si>
    <t>COGS as % of Revenue</t>
  </si>
  <si>
    <t>Planning COGS assumption covering ingredients and direct production inputs; stress-tested in scenarios.</t>
  </si>
  <si>
    <t>Planning gross-margin assumption; 45% COGS is stress-tested in scenario analysis.</t>
  </si>
  <si>
    <t>Operating Expenses (monthly base in Year 1)</t>
  </si>
  <si>
    <t>Rent</t>
  </si>
  <si>
    <t>Planning rent assumption for a small bakery production/retail unit.</t>
  </si>
  <si>
    <t>Utilities</t>
  </si>
  <si>
    <t>Planning utilities assumption reflecting ovens, refrigeration and premises use.</t>
  </si>
  <si>
    <t>Salaries and Wages</t>
  </si>
  <si>
    <t>Planning staffing assumption for production, fulfilment and customer service.</t>
  </si>
  <si>
    <t>Marketing</t>
  </si>
  <si>
    <t>Planning customer-acquisition budget.</t>
  </si>
  <si>
    <t>Insurance</t>
  </si>
  <si>
    <t>Planning business insurance allowance.</t>
  </si>
  <si>
    <t>Other Opex</t>
  </si>
  <si>
    <t>Planning miscellaneous operating costs.</t>
  </si>
  <si>
    <t>Opex Growth Y2 (%)</t>
  </si>
  <si>
    <t>Base-case operating-cost growth; stress-tested at 4%–8%.</t>
  </si>
  <si>
    <t>Planning cost-inflation assumption; stress-tested at 4%–8% in scenario analysis.</t>
  </si>
  <si>
    <t>Opex Growth Y3 (%)</t>
  </si>
  <si>
    <t>Funding Assumptions</t>
  </si>
  <si>
    <t>Description / Rationale</t>
  </si>
  <si>
    <t>Evidence / Basis</t>
  </si>
  <si>
    <t>Start-Up Loan Amount (£)</t>
  </si>
  <si>
    <t>Three-year start-up loan for equipment, premises and launch infrastructure.</t>
  </si>
  <si>
    <t>Planning assumption; lender terms to be confirmed.</t>
  </si>
  <si>
    <t>Annual Interest Rate (%)</t>
  </si>
  <si>
    <t>Planning debt-cost assumption.</t>
  </si>
  <si>
    <t>Loan Term (years)</t>
  </si>
  <si>
    <t>Aligned with the three-year forecast horizon.</t>
  </si>
  <si>
    <t>Repayment Starts Month</t>
  </si>
  <si>
    <t>Planning assumption: debt service starts at launch.</t>
  </si>
  <si>
    <t>Personal Savings (£)</t>
  </si>
  <si>
    <t>Founder capital demonstrating commitment and reducing external finance reliance.</t>
  </si>
  <si>
    <t>Base-case funding plan.</t>
  </si>
  <si>
    <t>Crowdfunding/Grant (£)</t>
  </si>
  <si>
    <t>No grant/crowdfunding assumed; treated as upside rather than required funding.</t>
  </si>
  <si>
    <t>Base-case decision avoids dependence on uncertain awards.</t>
  </si>
  <si>
    <t>Other Source of Funding (1)</t>
  </si>
  <si>
    <t>Angel equity funding providing growth capital without scheduled principal repayment.</t>
  </si>
  <si>
    <t>Equity percentage and terms to be negotiated and documented.</t>
  </si>
  <si>
    <t>Other Source of Funding (2)</t>
  </si>
  <si>
    <t>No additional funding assumed in base case.</t>
  </si>
  <si>
    <t>Avoids overstating liquidity.</t>
  </si>
  <si>
    <t>Tax &amp; KPI Assumptions</t>
  </si>
  <si>
    <t>Corporation Tax Rate (%)</t>
  </si>
  <si>
    <t>Planning corporation-tax rate; actual liability depends on taxable profits and applicable rules.</t>
  </si>
  <si>
    <t>Retention Rate for LTV calc (%)</t>
  </si>
  <si>
    <t>Planning customer-retention assumption for simplified LTV proxy.</t>
  </si>
  <si>
    <t>Average Customer Spend per Year (£)</t>
  </si>
  <si>
    <t>Planning annual customer spend: £45 average order × 12 orders.</t>
  </si>
  <si>
    <t>Average Service Cost per Year (£)</t>
  </si>
  <si>
    <t>Planning annual service/direct fulfilment cost proxy.</t>
  </si>
  <si>
    <t>New Customers per Year (for CAC)</t>
  </si>
  <si>
    <t>Planning annual new-customer acquisition volume.</t>
  </si>
  <si>
    <t>Marketing Spend used for CAC (£)</t>
  </si>
  <si>
    <t>Planning annual marketing spend used for simplified CAC.</t>
  </si>
  <si>
    <t>Model consistency note</t>
  </si>
  <si>
    <t>Base case uses a £20,000 ring-fenced working-capital reserve.</t>
  </si>
  <si>
    <t>This liquidity assumption must be reflected consistently in the report and model.</t>
  </si>
  <si>
    <t>Scenario analysis tests downside liquidity pressure.</t>
  </si>
  <si>
    <t>Startup Costs and Use of Funds</t>
  </si>
  <si>
    <t>Category</t>
  </si>
  <si>
    <t>Amount (£)</t>
  </si>
  <si>
    <t>Notes</t>
  </si>
  <si>
    <t>Commercial bakery equipment</t>
  </si>
  <si>
    <t>Ovens, mixers, refrigeration and small production equipment.</t>
  </si>
  <si>
    <t>Premises fit-out</t>
  </si>
  <si>
    <t>Food-preparation area, electrical/plumbing works and customer-facing setup.</t>
  </si>
  <si>
    <t>Initial ingredients &amp; packaging</t>
  </si>
  <si>
    <t>Opening ingredients, cake boards, boxes and bakery packaging.</t>
  </si>
  <si>
    <t>Licences, legal &amp; food compliance</t>
  </si>
  <si>
    <t>Company formation, legal advice and initial compliance setup.</t>
  </si>
  <si>
    <t>Branding &amp; launch marketing</t>
  </si>
  <si>
    <t>Brand identity, launch campaign and customer acquisition.</t>
  </si>
  <si>
    <t>Working Capital Buffer</t>
  </si>
  <si>
    <t>Ring-fenced liquidity reserve retained as cash rather than consumed at launch.</t>
  </si>
  <si>
    <t>Pre-launch salaries/training</t>
  </si>
  <si>
    <t>Limited pre-opening staffing and training.</t>
  </si>
  <si>
    <t>Website &amp; e-commerce</t>
  </si>
  <si>
    <t>Online ordering, product catalogue and payment-enabled website.</t>
  </si>
  <si>
    <t>Delivery &amp; logistics setup</t>
  </si>
  <si>
    <t>Local delivery equipment and initial logistics setup.</t>
  </si>
  <si>
    <t>POS/software/IT</t>
  </si>
  <si>
    <t>Till/POS, accounting and operational software setup.</t>
  </si>
  <si>
    <t>Other Startup Costs</t>
  </si>
  <si>
    <t>Not required in the base case.</t>
  </si>
  <si>
    <t>Total Startup Costs</t>
  </si>
  <si>
    <t>Funding Requirement Check</t>
  </si>
  <si>
    <t>The Cake &amp; Crumb Co. UK – Monthly Cash Flow – 36 Months</t>
  </si>
  <si>
    <t>Month</t>
  </si>
  <si>
    <t>M0 (Pre-Launch)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</si>
  <si>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</si>
  <si>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</si>
  <si>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</si>
  <si>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</si>
  <si>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</si>
  <si>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</si>
  <si>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</si>
  <si>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</si>
  <si>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</si>
  <si>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</si>
  <si>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</si>
  <si>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</si>
  <si>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</si>
  <si>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</si>
  <si>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</si>
  <si>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</si>
  <si>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</si>
  <si>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</si>
  <si>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</si>
  <si>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</si>
  <si>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</si>
  <si>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</si>
  <si>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</si>
  <si>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</si>
  <si>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</si>
  <si>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</si>
  <si>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</si>
  <si>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</si>
  <si>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</si>
  <si>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</si>
  <si>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</si>
  <si>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</si>
  <si>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</si>
  <si>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</si>
  <si>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</si>
  <si>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</si>
  <si>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Opening Cash</t>
  </si>
  <si>
    <t>Funding Inflow</t>
  </si>
  <si>
    <t>Startup Cash Deployed (excl. reserve)</t>
  </si>
  <si>
    <t>Revenue</t>
  </si>
  <si>
    <t>COGS</t>
  </si>
  <si>
    <t>Operating Expenses</t>
  </si>
  <si>
    <t>Loan Payment (PMT)</t>
  </si>
  <si>
    <t>Interest Component (for P&amp;L)</t>
  </si>
  <si>
    <t>Tax Cash Payment</t>
  </si>
  <si>
    <t>Net Cash Flow</t>
  </si>
  <si>
    <t>Closing Cash</t>
  </si>
  <si>
    <t>Interest Totals by Year (for P&amp;L link)</t>
  </si>
  <si>
    <t>Year 2 Interest</t>
  </si>
  <si>
    <t>Year 3 Interest</t>
  </si>
  <si>
    <t>Year 1 Interest</t>
  </si>
  <si>
    <t>The Cake &amp; Crumb Co. UK – Funding Sources Summary</t>
  </si>
  <si>
    <t>Source of Finance</t>
  </si>
  <si>
    <t>% of Total</t>
  </si>
  <si>
    <t>Total Funding</t>
  </si>
  <si>
    <t>Startup Costs Total (linked)</t>
  </si>
  <si>
    <t>Status</t>
  </si>
  <si>
    <t>Funding Surplus / (Deficit)</t>
  </si>
  <si>
    <t>The Cake &amp; Crumb Co. UK – Profit and Loss Summary – 3 Years</t>
  </si>
  <si>
    <t>Year 1 (£)</t>
  </si>
  <si>
    <t>Year 2 (£)</t>
  </si>
  <si>
    <t>Year 3 (£)</t>
  </si>
  <si>
    <t>Gross Profit</t>
  </si>
  <si>
    <t>EBIT</t>
  </si>
  <si>
    <t>Interest Expense</t>
  </si>
  <si>
    <t>Profit Before Tax</t>
  </si>
  <si>
    <t>Tax</t>
  </si>
  <si>
    <t>Net Profit After Tax</t>
  </si>
  <si>
    <t>Break Even</t>
  </si>
  <si>
    <t>Units / Orders</t>
  </si>
  <si>
    <t>Revenue (£)</t>
  </si>
  <si>
    <t>Total Cost (£)</t>
  </si>
  <si>
    <t>Break-Even Analysis</t>
  </si>
  <si>
    <t>Contribution</t>
  </si>
  <si>
    <t>Units</t>
  </si>
  <si>
    <t>Sales</t>
  </si>
  <si>
    <t>Variable Cost</t>
  </si>
  <si>
    <t>Fixed Cost</t>
  </si>
  <si>
    <t>Total Cost</t>
  </si>
  <si>
    <t>Net Income</t>
  </si>
  <si>
    <t>Units(min)</t>
  </si>
  <si>
    <t>Units (increment)</t>
  </si>
  <si>
    <t>Unit Price</t>
  </si>
  <si>
    <t>Unit Variable Cost</t>
  </si>
  <si>
    <t>Contribution Margin Per Unit</t>
  </si>
  <si>
    <t>Total Fixed Cost</t>
  </si>
  <si>
    <t>Break Even (Units)</t>
  </si>
  <si>
    <t>Break Even (Sales)</t>
  </si>
  <si>
    <t>Break Even Data Label Text</t>
  </si>
  <si>
    <t>Change the Units Increment in Cell C5 to refine the break-even chart resolution.</t>
  </si>
  <si>
    <t>The Cake &amp; Crumb Co. UK – Key Metrics and Ratios by Year</t>
  </si>
  <si>
    <t>Metric</t>
  </si>
  <si>
    <t>Year 1</t>
  </si>
  <si>
    <t>Year 2</t>
  </si>
  <si>
    <t>Year 3</t>
  </si>
  <si>
    <t>Definition</t>
  </si>
  <si>
    <t>Price × orders × 12 with growth</t>
  </si>
  <si>
    <t>COGS % of revenue</t>
  </si>
  <si>
    <t>Revenue – COGS</t>
  </si>
  <si>
    <t>Yearly opex</t>
  </si>
  <si>
    <t>Interest</t>
  </si>
  <si>
    <t>Annual interest expense</t>
  </si>
  <si>
    <t>PBT – tax</t>
  </si>
  <si>
    <t>Gross Margin</t>
  </si>
  <si>
    <t>Gross Profit / Revenue</t>
  </si>
  <si>
    <t>Net Margin</t>
  </si>
  <si>
    <t>NPAT / Revenue</t>
  </si>
  <si>
    <t>CAC</t>
  </si>
  <si>
    <t>Marketing spend ÷ new customers</t>
  </si>
  <si>
    <t>LTV</t>
  </si>
  <si>
    <t>Simplified planning proxy</t>
  </si>
  <si>
    <t>LTV:CAC</t>
  </si>
  <si>
    <t>LTV ÷ CAC</t>
  </si>
  <si>
    <t>The Cake &amp; Crumb Co. UK – Financial Dashboard</t>
  </si>
  <si>
    <t>Key Financial Indicators</t>
  </si>
  <si>
    <t>Funding &amp; Viability</t>
  </si>
  <si>
    <t>Startup Costs</t>
  </si>
  <si>
    <t>Working Capital Reserve</t>
  </si>
  <si>
    <t>Break-even Units</t>
  </si>
  <si>
    <t>Break-even Sales</t>
  </si>
  <si>
    <t>Funding Status</t>
  </si>
  <si>
    <t>Model Checks</t>
  </si>
  <si>
    <t>All figures are planning assumptions and model outputs; scenarios are sensitivities, not market forecasts.</t>
  </si>
  <si>
    <t>Funding matches startup requirement</t>
  </si>
  <si>
    <t>Revenue growth matches 25% base assumption</t>
  </si>
  <si>
    <t>Base-case closing cash non-negative</t>
  </si>
  <si>
    <t>Worst-case liquidity warning</t>
  </si>
  <si>
    <t>The Cake &amp; Crumb Co. UK – Quantified Scenario Analysis</t>
  </si>
  <si>
    <t>Sensitivity testing of demand growth, COGS and operating-cost growth. Scenarios are planning sensitivities, not market forecasts.</t>
  </si>
  <si>
    <t>Scenario</t>
  </si>
  <si>
    <t>Y2 Growth</t>
  </si>
  <si>
    <t>Y3 Growth</t>
  </si>
  <si>
    <t>COGS %</t>
  </si>
  <si>
    <t>Opex Growth</t>
  </si>
  <si>
    <t>Y1 Revenue</t>
  </si>
  <si>
    <t>Y2 Revenue</t>
  </si>
  <si>
    <t>Y3 Revenue</t>
  </si>
  <si>
    <t>Y3 NPAT</t>
  </si>
  <si>
    <t>Y3 Net Margin</t>
  </si>
  <si>
    <t>Y3 Closing Cash</t>
  </si>
  <si>
    <t>Best</t>
  </si>
  <si>
    <t>Base</t>
  </si>
  <si>
    <t>Worst</t>
  </si>
  <si>
    <t>Scenario Risk Metrics</t>
  </si>
  <si>
    <t>Cash Status</t>
  </si>
  <si>
    <t>Y3 Profit Status</t>
  </si>
  <si>
    <t>Interpretation</t>
  </si>
  <si>
    <t>Higher demand and lower COGS improve margin, cash generation and resilience.</t>
  </si>
  <si>
    <t>Base case is the planning reference case and remains dependent on sustained growth and cost control.</t>
  </si>
  <si>
    <t>Slower growth, higher COGS and higher opex create sustained losses and a material liquidity shortfall.</t>
  </si>
  <si>
    <t>How to read the scenarios</t>
  </si>
  <si>
    <t>• Best case: assumes stronger demand growth (35% annually), lower COGS (42%) and tighter opex growth (4%). It tests upside operating leverage rather than claiming a forecast.</t>
  </si>
  <si>
    <t>• Base case: uses the report-linked 25% growth assumption, 45% COGS and 5% opex growth. Revenue grows from £150,000 to £187,500 and £234,375.</t>
  </si>
  <si>
    <t>• Worst case: assumes 10% annual growth, 50% COGS and 8% opex growth. The resulting negative closing cash identifies a funding/liquidity risk requiring cost reduction, slower expansion or additional finance.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</si>
</sst>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£#,##0.00"/>
    <numFmt numFmtId="165" formatCode="0.0%"/>
    <numFmt numFmtId="166" formatCode="_-\£* #,##0.00_-;&quot;-£&quot;* #,##0.00_-;_-\£* \-??_-;_-@_-"/>
    <numFmt numFmtId="167" formatCode="\£#,##0.00;[Red]&quot;-£&quot;#,##0.00"/>
    <numFmt numFmtId="168" formatCode="\£#,##0"/>
    <numFmt numFmtId="169" formatCode="\£#,##0;[Red]&quot;-£&quot;#,##0"/>
    <numFmt numFmtId="170" formatCode="0.00\x"/>
    <numFmt numFmtId="171" formatCode="\£#,##0;[Red]&quot;(£&quot;#,##0\)"/>
  </numFmts>
  <fonts count="1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Cambria"/>
      <family val="1"/>
    </font>
    <font>
      <b/>
      <sz val="11"/>
      <color rgb="FF1F4E79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1F1F1F"/>
      <name val="Cambria"/>
      <family val="1"/>
      <charset val="1"/>
    </font>
    <font>
      <i/>
      <sz val="11"/>
      <color rgb="FF666666"/>
      <name val="Calibri"/>
      <family val="2"/>
      <charset val="1"/>
    </font>
    <font>
      <b/>
      <sz val="12"/>
      <name val="Cambria"/>
      <family val="1"/>
      <charset val="1"/>
    </font>
    <font>
      <b/>
      <sz val="11"/>
      <color rgb="FFFFFFFF"/>
      <name val="Cambria"/>
      <family val="1"/>
      <charset val="1"/>
    </font>
    <font>
      <b/>
      <sz val="11"/>
      <name val="Cambria"/>
      <family val="1"/>
      <charset val="1"/>
    </font>
    <font>
      <b/>
      <sz val="12"/>
      <color rgb="FFFFFFFF"/>
      <name val="Cambria"/>
      <family val="1"/>
      <charset val="1"/>
    </font>
    <font>
      <i/>
      <sz val="11"/>
      <color rgb="FF1F1F1F"/>
      <name val="Cambria"/>
      <family val="1"/>
      <charset val="1"/>
    </font>
    <font>
      <b/>
      <sz val="11"/>
      <color rgb="FF1F1F1F"/>
      <name val="Cambria"/>
      <family val="1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D9E1F2"/>
        <bgColor rgb="FFD9EAF7"/>
      </patternFill>
    </fill>
    <fill>
      <patternFill patternType="solid">
        <fgColor rgb="FFFFF2CC"/>
        <bgColor rgb="FFF3F6F9"/>
      </patternFill>
    </fill>
    <fill>
      <patternFill patternType="solid">
        <fgColor rgb="FFF3F6F9"/>
        <bgColor rgb="FFFFFFFF"/>
      </patternFill>
    </fill>
    <fill>
      <patternFill patternType="solid">
        <fgColor rgb="FF00B0F0"/>
        <bgColor rgb="FF008080"/>
      </patternFill>
    </fill>
    <fill>
      <patternFill patternType="solid">
        <fgColor rgb="FFFF0000"/>
        <bgColor rgb="FF800000"/>
      </patternFill>
    </fill>
    <fill>
      <patternFill patternType="solid">
        <fgColor theme="0" tint="-0.34998626667073579"/>
        <bgColor rgb="FFA5A5A5"/>
      </patternFill>
    </fill>
    <fill>
      <patternFill patternType="solid">
        <fgColor rgb="FF5B9BD5"/>
        <bgColor rgb="FF4472C4"/>
      </patternFill>
    </fill>
    <fill>
      <patternFill patternType="solid">
        <fgColor rgb="FFD9EAF7"/>
        <b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vertical="top" wrapText="1"/>
    </xf>
    <xf numFmtId="0" fontId="8" fillId="2" borderId="0" xfId="0" applyFont="1" applyFill="1" applyAlignment="1">
      <alignment vertical="top" wrapText="1"/>
    </xf>
    <xf numFmtId="0" fontId="2" fillId="2" borderId="0" xfId="0" applyFont="1" applyFill="1" applyAlignment="1" applyProtection="1">
      <alignment vertical="top" wrapText="1"/>
      <protection locked="0"/>
    </xf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 applyProtection="1">
      <alignment vertical="top" wrapText="1"/>
      <protection locked="0"/>
    </xf>
    <xf numFmtId="164" fontId="5" fillId="4" borderId="1" xfId="0" applyNumberFormat="1" applyFont="1" applyFill="1" applyBorder="1" applyAlignment="1" applyProtection="1">
      <alignment vertical="top" wrapText="1"/>
      <protection locked="0"/>
    </xf>
    <xf numFmtId="3" fontId="5" fillId="4" borderId="1" xfId="0" applyNumberFormat="1" applyFont="1" applyFill="1" applyBorder="1" applyAlignment="1" applyProtection="1">
      <alignment vertical="top" wrapText="1"/>
      <protection locked="0"/>
    </xf>
    <xf numFmtId="165" fontId="5" fillId="4" borderId="1" xfId="0" applyNumberFormat="1" applyFont="1" applyFill="1" applyBorder="1" applyAlignment="1" applyProtection="1">
      <alignment vertical="top" wrapText="1"/>
      <protection locked="0"/>
    </xf>
    <xf numFmtId="0" fontId="4" fillId="3" borderId="1" xfId="0" applyFont="1" applyFill="1" applyBorder="1" applyAlignment="1" applyProtection="1">
      <alignment vertical="top" wrapText="1"/>
      <protection locked="0"/>
    </xf>
    <xf numFmtId="166" fontId="0" fillId="0" borderId="1" xfId="0" applyNumberFormat="1" applyBorder="1" applyAlignment="1" applyProtection="1">
      <alignment vertical="top" wrapText="1"/>
      <protection locked="0"/>
    </xf>
    <xf numFmtId="9" fontId="0" fillId="0" borderId="1" xfId="0" applyNumberFormat="1" applyBorder="1" applyAlignment="1" applyProtection="1">
      <alignment vertical="top" wrapText="1"/>
      <protection locked="0"/>
    </xf>
    <xf numFmtId="1" fontId="5" fillId="4" borderId="1" xfId="0" applyNumberFormat="1" applyFont="1" applyFill="1" applyBorder="1" applyAlignment="1" applyProtection="1">
      <alignment vertical="top" wrapText="1"/>
      <protection locked="0"/>
    </xf>
    <xf numFmtId="0" fontId="0" fillId="0" borderId="1" xfId="0" applyBorder="1" applyAlignment="1" applyProtection="1">
      <alignment vertical="top" wrapText="1"/>
      <protection locked="0"/>
    </xf>
    <xf numFmtId="49" fontId="0" fillId="0" borderId="1" xfId="0" applyNumberFormat="1" applyBorder="1" applyAlignment="1">
      <alignment vertical="top" wrapText="1"/>
    </xf>
    <xf numFmtId="0" fontId="5" fillId="4" borderId="1" xfId="0" applyFont="1" applyFill="1" applyBorder="1" applyAlignment="1" applyProtection="1">
      <alignment vertical="top" wrapText="1"/>
      <protection locked="0"/>
    </xf>
    <xf numFmtId="0" fontId="6" fillId="0" borderId="0" xfId="0" applyFont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0" borderId="0" xfId="0" applyAlignment="1" applyProtection="1">
      <alignment vertical="top" wrapText="1"/>
      <protection locked="0"/>
    </xf>
    <xf numFmtId="167" fontId="0" fillId="0" borderId="1" xfId="0" applyNumberFormat="1" applyBorder="1" applyAlignment="1" applyProtection="1">
      <alignment vertical="top" wrapText="1"/>
      <protection locked="0"/>
    </xf>
    <xf numFmtId="167" fontId="0" fillId="0" borderId="1" xfId="0" applyNumberFormat="1" applyBorder="1" applyAlignment="1">
      <alignment vertical="top" wrapText="1"/>
    </xf>
    <xf numFmtId="167" fontId="0" fillId="0" borderId="0" xfId="0" applyNumberFormat="1" applyAlignment="1" applyProtection="1">
      <alignment vertical="top" wrapText="1"/>
      <protection locked="0"/>
    </xf>
    <xf numFmtId="0" fontId="6" fillId="0" borderId="0" xfId="0" applyFont="1" applyAlignment="1" applyProtection="1">
      <alignment vertical="top" wrapText="1"/>
      <protection locked="0"/>
    </xf>
    <xf numFmtId="0" fontId="0" fillId="0" borderId="0" xfId="0" applyAlignment="1">
      <alignment wrapText="1"/>
    </xf>
    <xf numFmtId="167" fontId="0" fillId="0" borderId="0" xfId="0" applyNumberFormat="1" applyAlignment="1">
      <alignment vertical="top" wrapText="1"/>
    </xf>
    <xf numFmtId="168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0" fontId="3" fillId="0" borderId="0" xfId="0" applyFont="1" applyAlignment="1" applyProtection="1">
      <alignment vertical="top" wrapText="1"/>
      <protection locked="0"/>
    </xf>
    <xf numFmtId="0" fontId="0" fillId="6" borderId="0" xfId="0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3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169" fontId="0" fillId="0" borderId="0" xfId="0" applyNumberFormat="1" applyAlignment="1">
      <alignment vertical="top" wrapText="1"/>
    </xf>
    <xf numFmtId="0" fontId="0" fillId="7" borderId="1" xfId="0" applyFill="1" applyBorder="1" applyAlignment="1" applyProtection="1">
      <alignment vertical="top" wrapText="1"/>
      <protection locked="0"/>
    </xf>
    <xf numFmtId="164" fontId="0" fillId="8" borderId="1" xfId="0" applyNumberFormat="1" applyFill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4" fontId="4" fillId="0" borderId="0" xfId="0" applyNumberFormat="1" applyFont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7" borderId="0" xfId="0" applyFill="1" applyAlignment="1">
      <alignment vertical="top" wrapText="1"/>
    </xf>
    <xf numFmtId="170" fontId="0" fillId="0" borderId="1" xfId="0" applyNumberFormat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8" fillId="9" borderId="0" xfId="0" applyFont="1" applyFill="1" applyAlignment="1">
      <alignment vertical="top" wrapText="1"/>
    </xf>
    <xf numFmtId="164" fontId="8" fillId="9" borderId="0" xfId="0" applyNumberFormat="1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165" fontId="0" fillId="0" borderId="0" xfId="0" applyNumberFormat="1" applyAlignment="1">
      <alignment vertical="top" wrapText="1"/>
    </xf>
    <xf numFmtId="170" fontId="0" fillId="0" borderId="0" xfId="0" applyNumberFormat="1" applyAlignment="1">
      <alignment vertical="top" wrapText="1"/>
    </xf>
    <xf numFmtId="0" fontId="10" fillId="2" borderId="0" xfId="0" applyFont="1" applyFill="1" applyAlignment="1">
      <alignment vertical="top" wrapText="1"/>
    </xf>
    <xf numFmtId="0" fontId="0" fillId="0" borderId="2" xfId="0" applyBorder="1" applyAlignment="1">
      <alignment vertical="top" wrapText="1"/>
    </xf>
    <xf numFmtId="165" fontId="0" fillId="0" borderId="2" xfId="0" applyNumberFormat="1" applyBorder="1" applyAlignment="1">
      <alignment vertical="top" wrapText="1"/>
    </xf>
    <xf numFmtId="171" fontId="0" fillId="0" borderId="2" xfId="0" applyNumberFormat="1" applyBorder="1" applyAlignment="1">
      <alignment vertical="top" wrapText="1"/>
    </xf>
    <xf numFmtId="0" fontId="9" fillId="10" borderId="0" xfId="0" applyFont="1" applyFill="1" applyAlignment="1">
      <alignment vertical="top" wrapText="1"/>
    </xf>
    <xf numFmtId="0" fontId="8" fillId="2" borderId="2" xfId="0" applyFont="1" applyFill="1" applyBorder="1" applyAlignment="1">
      <alignment vertical="top" wrapText="1"/>
    </xf>
    <xf numFmtId="165" fontId="0" fillId="4" borderId="2" xfId="0" applyNumberFormat="1" applyFill="1" applyBorder="1" applyAlignment="1">
      <alignment vertical="top" wrapText="1"/>
    </xf>
    <xf numFmtId="167" fontId="0" fillId="0" borderId="2" xfId="0" applyNumberFormat="1" applyBorder="1" applyAlignment="1">
      <alignment vertical="top" wrapText="1"/>
    </xf>
    <xf numFmtId="3" fontId="0" fillId="0" borderId="2" xfId="0" applyNumberFormat="1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0" fontId="2" fillId="2" borderId="0" xfId="0" applyFont="1" applyFill="1" applyAlignment="1" applyProtection="1">
      <alignment vertical="top" wrapText="1"/>
      <protection locked="0"/>
    </xf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1" fillId="10" borderId="0" xfId="0" applyFont="1" applyFill="1" applyAlignment="1">
      <alignment vertical="top" wrapText="1"/>
    </xf>
    <xf numFmtId="0" fontId="12" fillId="10" borderId="2" xfId="0" applyFont="1" applyFill="1" applyBorder="1" applyAlignment="1">
      <alignment vertical="top" wrapText="1"/>
    </xf>
    <xf numFmtId="0" fontId="8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7C9D6"/>
      <rgbColor rgb="FF8B8B8B"/>
      <rgbColor rgb="FFA6A6A6"/>
      <rgbColor rgb="FF993366"/>
      <rgbColor rgb="FFFFF2CC"/>
      <rgbColor rgb="FFD9EAF7"/>
      <rgbColor rgb="FF660066"/>
      <rgbColor rgb="FFFF8080"/>
      <rgbColor rgb="FF1F4E7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3F6F9"/>
      <rgbColor rgb="FFD9E1F2"/>
      <rgbColor rgb="FFFFFF99"/>
      <rgbColor rgb="FFA9D18E"/>
      <rgbColor rgb="FFFF99CC"/>
      <rgbColor rgb="FFCC99FF"/>
      <rgbColor rgb="FFFFD966"/>
      <rgbColor rgb="FF4472C4"/>
      <rgbColor rgb="FF5B9BD5"/>
      <rgbColor rgb="FF99CC00"/>
      <rgbColor rgb="FFFFC000"/>
      <rgbColor rgb="FFFF9900"/>
      <rgbColor rgb="FFED7D31"/>
      <rgbColor rgb="FF8064A2"/>
      <rgbColor rgb="FFA5A5A5"/>
      <rgbColor rgb="FF203864"/>
      <rgbColor rgb="FF70AD47"/>
      <rgbColor rgb="FF003300"/>
      <rgbColor rgb="FF333300"/>
      <rgbColor rgb="FFC55A11"/>
      <rgbColor rgb="FF993366"/>
      <rgbColor rgb="FF1F4E7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Break-Even: Revenue vs Total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Revenue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'Break-Even'!$E$4:$E$54</c:f>
              <c:numCache>
                <c:formatCode>General</c:formatCode>
                <c:ptCount val="5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</c:numCache>
            </c:numRef>
          </c:xVal>
          <c:yVal>
            <c:numRef>
              <c:f>'Break-Even'!$F$4:$F$54</c:f>
              <c:numCache>
                <c:formatCode>\£#,##0.00</c:formatCode>
                <c:ptCount val="51"/>
                <c:pt idx="0">
                  <c:v>0</c:v>
                </c:pt>
                <c:pt idx="1">
                  <c:v>4500</c:v>
                </c:pt>
                <c:pt idx="2">
                  <c:v>9000</c:v>
                </c:pt>
                <c:pt idx="3">
                  <c:v>13500</c:v>
                </c:pt>
                <c:pt idx="4">
                  <c:v>18000</c:v>
                </c:pt>
                <c:pt idx="5">
                  <c:v>22500</c:v>
                </c:pt>
                <c:pt idx="6">
                  <c:v>27000</c:v>
                </c:pt>
                <c:pt idx="7">
                  <c:v>31500</c:v>
                </c:pt>
                <c:pt idx="8">
                  <c:v>36000</c:v>
                </c:pt>
                <c:pt idx="9">
                  <c:v>40500</c:v>
                </c:pt>
                <c:pt idx="10">
                  <c:v>45000</c:v>
                </c:pt>
                <c:pt idx="11">
                  <c:v>49500</c:v>
                </c:pt>
                <c:pt idx="12">
                  <c:v>54000</c:v>
                </c:pt>
                <c:pt idx="13">
                  <c:v>58500</c:v>
                </c:pt>
                <c:pt idx="14">
                  <c:v>63000</c:v>
                </c:pt>
                <c:pt idx="15">
                  <c:v>67500</c:v>
                </c:pt>
                <c:pt idx="16">
                  <c:v>72000</c:v>
                </c:pt>
                <c:pt idx="17">
                  <c:v>76500</c:v>
                </c:pt>
                <c:pt idx="18">
                  <c:v>81000</c:v>
                </c:pt>
                <c:pt idx="19">
                  <c:v>85500</c:v>
                </c:pt>
                <c:pt idx="20">
                  <c:v>90000</c:v>
                </c:pt>
                <c:pt idx="21">
                  <c:v>94500</c:v>
                </c:pt>
                <c:pt idx="22">
                  <c:v>99000</c:v>
                </c:pt>
                <c:pt idx="23">
                  <c:v>103500</c:v>
                </c:pt>
                <c:pt idx="24">
                  <c:v>108000</c:v>
                </c:pt>
                <c:pt idx="25">
                  <c:v>112500</c:v>
                </c:pt>
                <c:pt idx="26">
                  <c:v>117000</c:v>
                </c:pt>
                <c:pt idx="27">
                  <c:v>121500</c:v>
                </c:pt>
                <c:pt idx="28">
                  <c:v>126000</c:v>
                </c:pt>
                <c:pt idx="29">
                  <c:v>130500</c:v>
                </c:pt>
                <c:pt idx="30">
                  <c:v>135000</c:v>
                </c:pt>
                <c:pt idx="31">
                  <c:v>139500</c:v>
                </c:pt>
                <c:pt idx="32">
                  <c:v>144000</c:v>
                </c:pt>
                <c:pt idx="33">
                  <c:v>148500</c:v>
                </c:pt>
                <c:pt idx="34">
                  <c:v>153000</c:v>
                </c:pt>
                <c:pt idx="35">
                  <c:v>157500</c:v>
                </c:pt>
                <c:pt idx="36">
                  <c:v>162000</c:v>
                </c:pt>
                <c:pt idx="37">
                  <c:v>166500</c:v>
                </c:pt>
                <c:pt idx="38">
                  <c:v>171000</c:v>
                </c:pt>
                <c:pt idx="39">
                  <c:v>175500</c:v>
                </c:pt>
                <c:pt idx="40">
                  <c:v>180000</c:v>
                </c:pt>
                <c:pt idx="41">
                  <c:v>184500</c:v>
                </c:pt>
                <c:pt idx="42">
                  <c:v>189000</c:v>
                </c:pt>
                <c:pt idx="43">
                  <c:v>193500</c:v>
                </c:pt>
                <c:pt idx="44">
                  <c:v>198000</c:v>
                </c:pt>
                <c:pt idx="45">
                  <c:v>202500</c:v>
                </c:pt>
                <c:pt idx="46">
                  <c:v>207000</c:v>
                </c:pt>
                <c:pt idx="47">
                  <c:v>211500</c:v>
                </c:pt>
                <c:pt idx="48">
                  <c:v>216000</c:v>
                </c:pt>
                <c:pt idx="49">
                  <c:v>220500</c:v>
                </c:pt>
                <c:pt idx="50">
                  <c:v>225000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1E-4E1A-B0D5-B8D52C919E61}"/>
            </c:ext>
          </c:extLst>
        </c:ser>
        <c:ser>
          <c:idx val="1"/>
          <c:order val="1"/>
          <c:tx>
            <c:v>Total Cost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'Break-Even'!$E$4:$E$54</c:f>
              <c:numCache>
                <c:formatCode>General</c:formatCode>
                <c:ptCount val="5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</c:numCache>
            </c:numRef>
          </c:xVal>
          <c:yVal>
            <c:numRef>
              <c:f>'Break-Even'!$J$4:$J$54</c:f>
              <c:numCache>
                <c:formatCode>\£#,##0.00</c:formatCode>
                <c:ptCount val="51"/>
                <c:pt idx="0">
                  <c:v>99600</c:v>
                </c:pt>
                <c:pt idx="1">
                  <c:v>101400</c:v>
                </c:pt>
                <c:pt idx="2">
                  <c:v>103200</c:v>
                </c:pt>
                <c:pt idx="3">
                  <c:v>105000</c:v>
                </c:pt>
                <c:pt idx="4">
                  <c:v>106800</c:v>
                </c:pt>
                <c:pt idx="5">
                  <c:v>108600</c:v>
                </c:pt>
                <c:pt idx="6">
                  <c:v>110400</c:v>
                </c:pt>
                <c:pt idx="7">
                  <c:v>112200</c:v>
                </c:pt>
                <c:pt idx="8">
                  <c:v>114000</c:v>
                </c:pt>
                <c:pt idx="9">
                  <c:v>115800</c:v>
                </c:pt>
                <c:pt idx="10">
                  <c:v>117600</c:v>
                </c:pt>
                <c:pt idx="11">
                  <c:v>119400</c:v>
                </c:pt>
                <c:pt idx="12">
                  <c:v>121200</c:v>
                </c:pt>
                <c:pt idx="13">
                  <c:v>123000</c:v>
                </c:pt>
                <c:pt idx="14">
                  <c:v>124800</c:v>
                </c:pt>
                <c:pt idx="15">
                  <c:v>126600</c:v>
                </c:pt>
                <c:pt idx="16">
                  <c:v>128400</c:v>
                </c:pt>
                <c:pt idx="17">
                  <c:v>130200</c:v>
                </c:pt>
                <c:pt idx="18">
                  <c:v>132000</c:v>
                </c:pt>
                <c:pt idx="19">
                  <c:v>133800</c:v>
                </c:pt>
                <c:pt idx="20">
                  <c:v>135600</c:v>
                </c:pt>
                <c:pt idx="21">
                  <c:v>137400</c:v>
                </c:pt>
                <c:pt idx="22">
                  <c:v>139200</c:v>
                </c:pt>
                <c:pt idx="23">
                  <c:v>141000</c:v>
                </c:pt>
                <c:pt idx="24">
                  <c:v>142800</c:v>
                </c:pt>
                <c:pt idx="25">
                  <c:v>144600</c:v>
                </c:pt>
                <c:pt idx="26">
                  <c:v>146400</c:v>
                </c:pt>
                <c:pt idx="27">
                  <c:v>148200</c:v>
                </c:pt>
                <c:pt idx="28">
                  <c:v>150000</c:v>
                </c:pt>
                <c:pt idx="29">
                  <c:v>151800</c:v>
                </c:pt>
                <c:pt idx="30">
                  <c:v>153600</c:v>
                </c:pt>
                <c:pt idx="31">
                  <c:v>155400</c:v>
                </c:pt>
                <c:pt idx="32">
                  <c:v>157200</c:v>
                </c:pt>
                <c:pt idx="33">
                  <c:v>159000</c:v>
                </c:pt>
                <c:pt idx="34">
                  <c:v>160800</c:v>
                </c:pt>
                <c:pt idx="35">
                  <c:v>162600</c:v>
                </c:pt>
                <c:pt idx="36">
                  <c:v>164400</c:v>
                </c:pt>
                <c:pt idx="37">
                  <c:v>166200</c:v>
                </c:pt>
                <c:pt idx="38">
                  <c:v>168000</c:v>
                </c:pt>
                <c:pt idx="39">
                  <c:v>169800</c:v>
                </c:pt>
                <c:pt idx="40">
                  <c:v>171600</c:v>
                </c:pt>
                <c:pt idx="41">
                  <c:v>173400</c:v>
                </c:pt>
                <c:pt idx="42">
                  <c:v>175200</c:v>
                </c:pt>
                <c:pt idx="43">
                  <c:v>177000</c:v>
                </c:pt>
                <c:pt idx="44">
                  <c:v>178800</c:v>
                </c:pt>
                <c:pt idx="45">
                  <c:v>180600</c:v>
                </c:pt>
                <c:pt idx="46">
                  <c:v>182400</c:v>
                </c:pt>
                <c:pt idx="47">
                  <c:v>184200</c:v>
                </c:pt>
                <c:pt idx="48">
                  <c:v>186000</c:v>
                </c:pt>
                <c:pt idx="49">
                  <c:v>187800</c:v>
                </c:pt>
                <c:pt idx="50">
                  <c:v>189600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1E-4E1A-B0D5-B8D52C919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39547"/>
        <c:axId val="94066011"/>
      </c:scatterChart>
      <c:valAx>
        <c:axId val="467395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Units /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66011"/>
        <c:crosses val="autoZero"/>
        <c:crossBetween val="midCat"/>
      </c:valAx>
      <c:valAx>
        <c:axId val="940660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£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395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Source of Start-up Finance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'Funding Mix'!$B$3</c:f>
              <c:strCache>
                <c:ptCount val="1"/>
                <c:pt idx="0">
                  <c:v>Amount (£)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lumMod val="102000"/>
                      <a:tint val="94000"/>
                    </a:schemeClr>
                  </a:gs>
                  <a:gs pos="50000">
                    <a:schemeClr val="accent1"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557-4CFF-9AED-D5B05A59008A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102000"/>
                      <a:tint val="94000"/>
                    </a:schemeClr>
                  </a:gs>
                  <a:gs pos="50000">
                    <a:schemeClr val="accent2"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57-4CFF-9AED-D5B05A59008A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102000"/>
                      <a:tint val="94000"/>
                    </a:schemeClr>
                  </a:gs>
                  <a:gs pos="50000">
                    <a:schemeClr val="accent3"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557-4CFF-9AED-D5B05A59008A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102000"/>
                      <a:tint val="94000"/>
                    </a:schemeClr>
                  </a:gs>
                  <a:gs pos="50000">
                    <a:schemeClr val="accent4"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557-4CFF-9AED-D5B05A59008A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102000"/>
                      <a:tint val="94000"/>
                    </a:schemeClr>
                  </a:gs>
                  <a:gs pos="50000">
                    <a:schemeClr val="accent5"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557-4CFF-9AED-D5B05A59008A}"/>
              </c:ext>
            </c:extLst>
          </c:dPt>
          <c:dLbls>
            <c:dLbl>
              <c:idx val="0"/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57-4CFF-9AED-D5B05A59008A}"/>
                </c:ext>
              </c:extLst>
            </c:dLbl>
            <c:dLbl>
              <c:idx val="1"/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57-4CFF-9AED-D5B05A59008A}"/>
                </c:ext>
              </c:extLst>
            </c:dLbl>
            <c:dLbl>
              <c:idx val="2"/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557-4CFF-9AED-D5B05A59008A}"/>
                </c:ext>
              </c:extLst>
            </c:dLbl>
            <c:dLbl>
              <c:idx val="3"/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557-4CFF-9AED-D5B05A59008A}"/>
                </c:ext>
              </c:extLst>
            </c:dLbl>
            <c:dLbl>
              <c:idx val="4"/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557-4CFF-9AED-D5B05A5900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'Funding Mix'!$A$4:$A$8</c:f>
              <c:strCache>
                <c:ptCount val="5"/>
                <c:pt idx="0">
                  <c:v>Personal Savings (£)</c:v>
                </c:pt>
                <c:pt idx="1">
                  <c:v>Start-Up Loan Amount (£)</c:v>
                </c:pt>
                <c:pt idx="2">
                  <c:v>Other Source of Funding (1)</c:v>
                </c:pt>
                <c:pt idx="3">
                  <c:v>Crowdfunding/Grant (£)</c:v>
                </c:pt>
                <c:pt idx="4">
                  <c:v>Other Source of Funding (2)</c:v>
                </c:pt>
              </c:strCache>
            </c:strRef>
          </c:cat>
          <c:val>
            <c:numRef>
              <c:f>'Funding Mix'!$B$4:$B$8</c:f>
              <c:numCache>
                <c:formatCode>\£#,##0.00;[Red]"-£"#,##0.00</c:formatCode>
                <c:ptCount val="5"/>
                <c:pt idx="0">
                  <c:v>20000</c:v>
                </c:pt>
                <c:pt idx="1">
                  <c:v>30000</c:v>
                </c:pt>
                <c:pt idx="2">
                  <c:v>40000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557-4CFF-9AED-D5B05A590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vs Operating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'P&amp;L_3yr'!$B$3:$D$3</c:f>
              <c:strCache>
                <c:ptCount val="3"/>
                <c:pt idx="0">
                  <c:v>Year 1 (£)</c:v>
                </c:pt>
                <c:pt idx="1">
                  <c:v>Year 2 (£)</c:v>
                </c:pt>
                <c:pt idx="2">
                  <c:v>Year 3 (£)</c:v>
                </c:pt>
              </c:strCache>
            </c:strRef>
          </c:cat>
          <c:val>
            <c:numRef>
              <c:f>'P&amp;L_3yr'!$B$4:$D$4</c:f>
              <c:numCache>
                <c:formatCode>\£#,##0.00;[Red]"-£"#,##0.00</c:formatCode>
                <c:ptCount val="3"/>
                <c:pt idx="0">
                  <c:v>162000</c:v>
                </c:pt>
                <c:pt idx="1">
                  <c:v>202500</c:v>
                </c:pt>
                <c:pt idx="2">
                  <c:v>253125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9D-4A8B-8CA3-558D7C03F0CB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'P&amp;L_3yr'!$B$3:$D$3</c:f>
              <c:strCache>
                <c:ptCount val="3"/>
                <c:pt idx="0">
                  <c:v>Year 1 (£)</c:v>
                </c:pt>
                <c:pt idx="1">
                  <c:v>Year 2 (£)</c:v>
                </c:pt>
                <c:pt idx="2">
                  <c:v>Year 3 (£)</c:v>
                </c:pt>
              </c:strCache>
            </c:strRef>
          </c:cat>
          <c:val>
            <c:numRef>
              <c:f>'P&amp;L_3yr'!$B$7:$D$7</c:f>
              <c:numCache>
                <c:formatCode>\£#,##0.00;[Red]"-£"#,##0.00</c:formatCode>
                <c:ptCount val="3"/>
                <c:pt idx="0">
                  <c:v>99600</c:v>
                </c:pt>
                <c:pt idx="1">
                  <c:v>104580</c:v>
                </c:pt>
                <c:pt idx="2">
                  <c:v>109809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9D-4A8B-8CA3-558D7C03F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lt1">
                  <a:lumMod val="50000"/>
                </a:schemeClr>
              </a:solidFill>
              <a:round/>
            </a:ln>
            <a:effectLst/>
          </c:spPr>
        </c:hiLowLines>
        <c:smooth val="0"/>
        <c:axId val="82043111"/>
        <c:axId val="57630864"/>
      </c:lineChart>
      <c:catAx>
        <c:axId val="820431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0864"/>
        <c:crosses val="autoZero"/>
        <c:auto val="1"/>
        <c:lblAlgn val="ctr"/>
        <c:lblOffset val="100"/>
        <c:noMultiLvlLbl val="0"/>
      </c:catAx>
      <c:valAx>
        <c:axId val="576308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£#,##0.00;[Red]&quot;-£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43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 Profit After Tax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'P&amp;L_3yr'!$B$3:$D$3</c:f>
              <c:strCache>
                <c:ptCount val="3"/>
                <c:pt idx="0">
                  <c:v>Year 1 (£)</c:v>
                </c:pt>
                <c:pt idx="1">
                  <c:v>Year 2 (£)</c:v>
                </c:pt>
                <c:pt idx="2">
                  <c:v>Year 3 (£)</c:v>
                </c:pt>
              </c:strCache>
            </c:strRef>
          </c:cat>
          <c:val>
            <c:numRef>
              <c:f>'P&amp;L_3yr'!$B$12:$D$12</c:f>
              <c:numCache>
                <c:formatCode>\£#,##0.00;[Red]"-£"#,##0.00</c:formatCode>
                <c:ptCount val="3"/>
                <c:pt idx="0">
                  <c:v>-2400</c:v>
                </c:pt>
                <c:pt idx="1">
                  <c:v>13705.2</c:v>
                </c:pt>
                <c:pt idx="2">
                  <c:v>34073.46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9F-4B03-A874-116A8F99E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8326846"/>
        <c:axId val="76010902"/>
      </c:barChart>
      <c:catAx>
        <c:axId val="832684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10902"/>
        <c:crosses val="autoZero"/>
        <c:auto val="1"/>
        <c:lblAlgn val="ctr"/>
        <c:lblOffset val="100"/>
        <c:noMultiLvlLbl val="0"/>
      </c:catAx>
      <c:valAx>
        <c:axId val="7601090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£#,##0.00;[Red]&quot;-£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68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Cash Balance Over 36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CashFlow_36m!$B$3:$AL$3</c:f>
              <c:strCache>
                <c:ptCount val="37"/>
                <c:pt idx="0">
                  <c:v>M0 (Pre-Launch)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  <c:pt idx="12">
                  <c:v>M12</c:v>
                </c:pt>
                <c:pt idx="13">
                  <c:v>M13</c:v>
                </c:pt>
                <c:pt idx="14">
                  <c:v>M14</c:v>
                </c:pt>
                <c:pt idx="15">
                  <c:v>M15</c:v>
                </c:pt>
                <c:pt idx="16">
                  <c:v>M16</c:v>
                </c:pt>
                <c:pt idx="17">
                  <c:v>M17</c:v>
                </c:pt>
                <c:pt idx="18">
                  <c:v>M18</c:v>
                </c:pt>
                <c:pt idx="19">
                  <c:v>M19</c:v>
                </c:pt>
                <c:pt idx="20">
                  <c:v>M20</c:v>
                </c:pt>
                <c:pt idx="21">
                  <c:v>M21</c:v>
                </c:pt>
                <c:pt idx="22">
                  <c:v>M22</c:v>
                </c:pt>
                <c:pt idx="23">
                  <c:v>M23</c:v>
                </c:pt>
                <c:pt idx="24">
                  <c:v>M24</c:v>
                </c:pt>
                <c:pt idx="25">
                  <c:v>M25</c:v>
                </c:pt>
                <c:pt idx="26">
                  <c:v>M26</c:v>
                </c:pt>
                <c:pt idx="27">
                  <c:v>M27</c:v>
                </c:pt>
                <c:pt idx="28">
                  <c:v>M28</c:v>
                </c:pt>
                <c:pt idx="29">
                  <c:v>M29</c:v>
                </c:pt>
                <c:pt idx="30">
                  <c:v>M30</c:v>
                </c:pt>
                <c:pt idx="31">
                  <c:v>M31</c:v>
                </c:pt>
                <c:pt idx="32">
                  <c:v>M32</c:v>
                </c:pt>
                <c:pt idx="33">
                  <c:v>M33</c:v>
                </c:pt>
                <c:pt idx="34">
                  <c:v>M34</c:v>
                </c:pt>
                <c:pt idx="35">
                  <c:v>M35</c:v>
                </c:pt>
                <c:pt idx="36">
                  <c:v>M36</c:v>
                </c:pt>
              </c:strCache>
            </c:strRef>
          </c:cat>
          <c:val>
            <c:numRef>
              <c:f>CashFlow_36m!$B$14:$AL$14</c:f>
              <c:numCache>
                <c:formatCode>\£#,##0.00;[Red]"-£"#,##0.00</c:formatCode>
                <c:ptCount val="37"/>
                <c:pt idx="0">
                  <c:v>20000</c:v>
                </c:pt>
                <c:pt idx="1">
                  <c:v>18859.909036157074</c:v>
                </c:pt>
                <c:pt idx="2">
                  <c:v>17719.818072314149</c:v>
                </c:pt>
                <c:pt idx="3">
                  <c:v>16579.727108471223</c:v>
                </c:pt>
                <c:pt idx="4">
                  <c:v>15439.636144628297</c:v>
                </c:pt>
                <c:pt idx="5">
                  <c:v>14299.545180785371</c:v>
                </c:pt>
                <c:pt idx="6">
                  <c:v>13159.454216942446</c:v>
                </c:pt>
                <c:pt idx="7">
                  <c:v>12019.36325309952</c:v>
                </c:pt>
                <c:pt idx="8">
                  <c:v>10879.272289256594</c:v>
                </c:pt>
                <c:pt idx="9">
                  <c:v>9739.1813254136687</c:v>
                </c:pt>
                <c:pt idx="10">
                  <c:v>8599.090361570743</c:v>
                </c:pt>
                <c:pt idx="11">
                  <c:v>7458.9993977278173</c:v>
                </c:pt>
                <c:pt idx="12">
                  <c:v>6318.9084338848916</c:v>
                </c:pt>
                <c:pt idx="13">
                  <c:v>6788.8174700419659</c:v>
                </c:pt>
                <c:pt idx="14">
                  <c:v>7258.7265061990402</c:v>
                </c:pt>
                <c:pt idx="15">
                  <c:v>7728.6355423561145</c:v>
                </c:pt>
                <c:pt idx="16">
                  <c:v>8198.5445785131888</c:v>
                </c:pt>
                <c:pt idx="17">
                  <c:v>8668.4536146702631</c:v>
                </c:pt>
                <c:pt idx="18">
                  <c:v>9138.3626508273373</c:v>
                </c:pt>
                <c:pt idx="19">
                  <c:v>9608.2716869844116</c:v>
                </c:pt>
                <c:pt idx="20">
                  <c:v>10078.180723141486</c:v>
                </c:pt>
                <c:pt idx="21">
                  <c:v>10548.08975929856</c:v>
                </c:pt>
                <c:pt idx="22">
                  <c:v>11017.998795455635</c:v>
                </c:pt>
                <c:pt idx="23">
                  <c:v>11487.907831612709</c:v>
                </c:pt>
                <c:pt idx="24">
                  <c:v>8743.0168677697839</c:v>
                </c:pt>
                <c:pt idx="25">
                  <c:v>11308.425903926858</c:v>
                </c:pt>
                <c:pt idx="26">
                  <c:v>13873.834940083932</c:v>
                </c:pt>
                <c:pt idx="27">
                  <c:v>16439.243976241007</c:v>
                </c:pt>
                <c:pt idx="28">
                  <c:v>19004.653012398081</c:v>
                </c:pt>
                <c:pt idx="29">
                  <c:v>21570.062048555155</c:v>
                </c:pt>
                <c:pt idx="30">
                  <c:v>24135.47108471223</c:v>
                </c:pt>
                <c:pt idx="31">
                  <c:v>26700.880120869304</c:v>
                </c:pt>
                <c:pt idx="32">
                  <c:v>29266.289157026378</c:v>
                </c:pt>
                <c:pt idx="33">
                  <c:v>31831.698193183453</c:v>
                </c:pt>
                <c:pt idx="34">
                  <c:v>34397.10722934053</c:v>
                </c:pt>
                <c:pt idx="35">
                  <c:v>36962.516265497601</c:v>
                </c:pt>
                <c:pt idx="36">
                  <c:v>31535.385301654675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C9D-43FE-B9B8-F5D7517D6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lt1">
                  <a:lumMod val="50000"/>
                </a:schemeClr>
              </a:solidFill>
              <a:round/>
            </a:ln>
            <a:effectLst/>
          </c:spPr>
        </c:hiLowLines>
        <c:smooth val="0"/>
        <c:axId val="73447001"/>
        <c:axId val="55008648"/>
      </c:lineChart>
      <c:catAx>
        <c:axId val="7344700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08648"/>
        <c:crosses val="autoZero"/>
        <c:auto val="1"/>
        <c:lblAlgn val="ctr"/>
        <c:lblOffset val="100"/>
        <c:noMultiLvlLbl val="0"/>
      </c:catAx>
      <c:valAx>
        <c:axId val="550086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£#,##0.00;[Red]&quot;-£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470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Y3 Net Profit After Tax by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'Scenario Analysis'!$I$4</c:f>
              <c:strCache>
                <c:ptCount val="1"/>
                <c:pt idx="0">
                  <c:v>Y3 NPAT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102000"/>
                    <a:tint val="94000"/>
                  </a:schemeClr>
                </a:gs>
                <a:gs pos="50000">
                  <a:schemeClr val="accent1"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'Scenario Analysis'!$A$5:$A$7</c:f>
              <c:strCache>
                <c:ptCount val="3"/>
                <c:pt idx="0">
                  <c:v>Best</c:v>
                </c:pt>
                <c:pt idx="1">
                  <c:v>Base</c:v>
                </c:pt>
                <c:pt idx="2">
                  <c:v>Worst</c:v>
                </c:pt>
              </c:strCache>
            </c:strRef>
          </c:cat>
          <c:val>
            <c:numRef>
              <c:f>'Scenario Analysis'!$I$5:$I$7</c:f>
              <c:numCache>
                <c:formatCode>\£#,##0.00;[Red]"-£"#,##0.00</c:formatCode>
                <c:ptCount val="3"/>
                <c:pt idx="0">
                  <c:v>67803.382012319751</c:v>
                </c:pt>
                <c:pt idx="1">
                  <c:v>33689.511112319771</c:v>
                </c:pt>
                <c:pt idx="2">
                  <c:v>-7157.5252876802233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0-49AD-BA0C-A00E694F3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9108127"/>
        <c:axId val="3786101"/>
      </c:barChart>
      <c:catAx>
        <c:axId val="291081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6101"/>
        <c:crosses val="autoZero"/>
        <c:auto val="1"/>
        <c:lblAlgn val="ctr"/>
        <c:lblOffset val="100"/>
        <c:noMultiLvlLbl val="0"/>
      </c:catAx>
      <c:valAx>
        <c:axId val="37861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£#,##0.00;[Red]&quot;-£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0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512456</xdr:colOff>
      <xdr:row>6</xdr:row>
      <xdr:rowOff>111403</xdr:rowOff>
    </xdr:from>
    <xdr:to>
      <xdr:col>21</xdr:col>
      <xdr:colOff>323070</xdr:colOff>
      <xdr:row>31</xdr:row>
      <xdr:rowOff>89123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1082183</xdr:colOff>
      <xdr:row>20</xdr:row>
      <xdr:rowOff>71550</xdr:rowOff>
    </xdr:from>
    <xdr:to>
      <xdr:col>11</xdr:col>
      <xdr:colOff>468982</xdr:colOff>
      <xdr:row>35</xdr:row>
      <xdr:rowOff>169930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795986</xdr:colOff>
      <xdr:row>23</xdr:row>
      <xdr:rowOff>160987</xdr:rowOff>
    </xdr:from>
    <xdr:to>
      <xdr:col>21</xdr:col>
      <xdr:colOff>429296</xdr:colOff>
      <xdr:row>40</xdr:row>
      <xdr:rowOff>152042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44719</xdr:colOff>
      <xdr:row>6</xdr:row>
      <xdr:rowOff>169930</xdr:rowOff>
    </xdr:from>
    <xdr:to>
      <xdr:col>31</xdr:col>
      <xdr:colOff>295141</xdr:colOff>
      <xdr:row>18</xdr:row>
      <xdr:rowOff>277253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769155</xdr:colOff>
      <xdr:row>11</xdr:row>
      <xdr:rowOff>8944</xdr:rowOff>
    </xdr:from>
    <xdr:to>
      <xdr:col>20</xdr:col>
      <xdr:colOff>464409</xdr:colOff>
      <xdr:row>22</xdr:row>
      <xdr:rowOff>217653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51209</xdr:colOff>
      <xdr:row>21</xdr:row>
      <xdr:rowOff>61450</xdr:rowOff>
    </xdr:from>
    <xdr:to>
      <xdr:col>6</xdr:col>
      <xdr:colOff>1956210</xdr:colOff>
      <xdr:row>43</xdr:row>
      <xdr:rowOff>163870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966"/>
  </sheetPr>
  <dimension ref="A1:D53"/>
  <sheetViews>
    <sheetView zoomScaleNormal="100" workbookViewId="0">
      <selection activeCell="B11" sqref="B11"/>
    </sheetView>
  </sheetViews>
  <sheetFormatPr defaultColWidth="8.6328125" defaultRowHeight="14.5" x14ac:dyDescent="0.35"/>
  <cols>
    <col min="1" max="4" width="42" customWidth="1"/>
  </cols>
  <sheetData>
    <row r="1" spans="1:4" ht="18" customHeight="1" x14ac:dyDescent="0.35">
      <c r="A1" s="4" t="s">
        <v>0</v>
      </c>
      <c r="B1" s="4"/>
      <c r="C1" s="4"/>
      <c r="D1" s="4"/>
    </row>
    <row r="2" spans="1:4" ht="14.25" customHeight="1" x14ac:dyDescent="0.35">
      <c r="A2" s="1"/>
      <c r="B2" s="1"/>
      <c r="C2" s="1"/>
      <c r="D2" s="1"/>
    </row>
    <row r="3" spans="1:4" ht="14.25" customHeight="1" x14ac:dyDescent="0.35">
      <c r="A3" s="5" t="s">
        <v>1</v>
      </c>
      <c r="B3" s="1"/>
      <c r="C3" s="1"/>
      <c r="D3" s="1"/>
    </row>
    <row r="4" spans="1:4" ht="14.25" customHeight="1" x14ac:dyDescent="0.35">
      <c r="A4" s="6" t="s">
        <v>2</v>
      </c>
      <c r="B4" s="6" t="s">
        <v>3</v>
      </c>
      <c r="C4" s="1"/>
      <c r="D4" s="1"/>
    </row>
    <row r="5" spans="1:4" ht="14.25" customHeight="1" x14ac:dyDescent="0.35">
      <c r="A5" s="7" t="s">
        <v>4</v>
      </c>
      <c r="B5" s="8" t="s">
        <v>5</v>
      </c>
      <c r="C5" s="1"/>
      <c r="D5" s="1"/>
    </row>
    <row r="6" spans="1:4" ht="27.75" customHeight="1" x14ac:dyDescent="0.35">
      <c r="A6" s="7" t="s">
        <v>6</v>
      </c>
      <c r="B6" s="8" t="s">
        <v>7</v>
      </c>
      <c r="C6" s="1"/>
      <c r="D6" s="1"/>
    </row>
    <row r="7" spans="1:4" ht="14.25" customHeight="1" x14ac:dyDescent="0.35">
      <c r="A7" s="7" t="s">
        <v>8</v>
      </c>
      <c r="B7" s="8" t="s">
        <v>9</v>
      </c>
      <c r="C7" s="1"/>
      <c r="D7" s="1"/>
    </row>
    <row r="8" spans="1:4" ht="14.25" customHeight="1" x14ac:dyDescent="0.35">
      <c r="A8" s="1"/>
      <c r="B8" s="1"/>
      <c r="C8" s="1"/>
      <c r="D8" s="1"/>
    </row>
    <row r="9" spans="1:4" ht="14.25" customHeight="1" x14ac:dyDescent="0.35">
      <c r="A9" s="5" t="s">
        <v>10</v>
      </c>
      <c r="B9" s="1"/>
      <c r="C9" s="1"/>
      <c r="D9" s="1"/>
    </row>
    <row r="10" spans="1:4" ht="14.25" customHeight="1" x14ac:dyDescent="0.35">
      <c r="A10" s="6" t="s">
        <v>2</v>
      </c>
      <c r="B10" s="6" t="s">
        <v>3</v>
      </c>
      <c r="C10" s="1"/>
      <c r="D10" s="1"/>
    </row>
    <row r="11" spans="1:4" ht="27.75" customHeight="1" x14ac:dyDescent="0.35">
      <c r="A11" s="7" t="s">
        <v>11</v>
      </c>
      <c r="B11" s="9">
        <v>45</v>
      </c>
      <c r="C11" s="1" t="s">
        <v>12</v>
      </c>
      <c r="D11" s="1" t="s">
        <v>13</v>
      </c>
    </row>
    <row r="12" spans="1:4" ht="41.25" customHeight="1" x14ac:dyDescent="0.35">
      <c r="A12" s="7" t="s">
        <v>14</v>
      </c>
      <c r="B12" s="10">
        <v>300</v>
      </c>
      <c r="C12" s="1" t="s">
        <v>15</v>
      </c>
      <c r="D12" s="1" t="s">
        <v>16</v>
      </c>
    </row>
    <row r="13" spans="1:4" ht="41.25" customHeight="1" x14ac:dyDescent="0.35">
      <c r="A13" s="7" t="s">
        <v>17</v>
      </c>
      <c r="B13" s="11">
        <v>0.25</v>
      </c>
      <c r="C13" s="1" t="s">
        <v>18</v>
      </c>
      <c r="D13" s="1" t="s">
        <v>19</v>
      </c>
    </row>
    <row r="14" spans="1:4" ht="41.25" customHeight="1" x14ac:dyDescent="0.35">
      <c r="A14" s="7" t="s">
        <v>20</v>
      </c>
      <c r="B14" s="11">
        <v>0.25</v>
      </c>
      <c r="C14" s="1" t="s">
        <v>21</v>
      </c>
      <c r="D14" s="1" t="s">
        <v>22</v>
      </c>
    </row>
    <row r="15" spans="1:4" ht="14.25" customHeight="1" x14ac:dyDescent="0.35">
      <c r="A15" s="1"/>
      <c r="B15" s="1"/>
      <c r="C15" s="1"/>
      <c r="D15" s="1"/>
    </row>
    <row r="16" spans="1:4" ht="14.25" customHeight="1" x14ac:dyDescent="0.35">
      <c r="A16" s="5" t="s">
        <v>23</v>
      </c>
      <c r="B16" s="1"/>
      <c r="C16" s="1"/>
      <c r="D16" s="1"/>
    </row>
    <row r="17" spans="1:4" ht="14.25" customHeight="1" x14ac:dyDescent="0.35">
      <c r="A17" s="6" t="s">
        <v>2</v>
      </c>
      <c r="B17" s="6" t="s">
        <v>3</v>
      </c>
      <c r="C17" s="1"/>
      <c r="D17" s="1"/>
    </row>
    <row r="18" spans="1:4" ht="41.25" customHeight="1" x14ac:dyDescent="0.35">
      <c r="A18" s="7" t="s">
        <v>24</v>
      </c>
      <c r="B18" s="11">
        <v>0.4</v>
      </c>
      <c r="C18" s="1" t="s">
        <v>25</v>
      </c>
      <c r="D18" s="1" t="s">
        <v>26</v>
      </c>
    </row>
    <row r="19" spans="1:4" ht="14.25" customHeight="1" x14ac:dyDescent="0.35">
      <c r="A19" s="1"/>
      <c r="B19" s="1"/>
      <c r="C19" s="1"/>
      <c r="D19" s="1"/>
    </row>
    <row r="20" spans="1:4" ht="14.25" customHeight="1" x14ac:dyDescent="0.35">
      <c r="A20" s="5" t="s">
        <v>27</v>
      </c>
      <c r="B20" s="1"/>
      <c r="C20" s="1"/>
      <c r="D20" s="1"/>
    </row>
    <row r="21" spans="1:4" ht="14.25" customHeight="1" x14ac:dyDescent="0.35">
      <c r="A21" s="6" t="s">
        <v>2</v>
      </c>
      <c r="B21" s="6" t="s">
        <v>3</v>
      </c>
      <c r="C21" s="1"/>
      <c r="D21" s="1"/>
    </row>
    <row r="22" spans="1:4" ht="27.75" customHeight="1" x14ac:dyDescent="0.35">
      <c r="A22" s="7" t="s">
        <v>28</v>
      </c>
      <c r="B22" s="9">
        <v>2000</v>
      </c>
      <c r="C22" s="1" t="s">
        <v>29</v>
      </c>
      <c r="D22" s="1"/>
    </row>
    <row r="23" spans="1:4" ht="27.75" customHeight="1" x14ac:dyDescent="0.35">
      <c r="A23" s="7" t="s">
        <v>30</v>
      </c>
      <c r="B23" s="9">
        <v>400</v>
      </c>
      <c r="C23" s="1" t="s">
        <v>31</v>
      </c>
      <c r="D23" s="1"/>
    </row>
    <row r="24" spans="1:4" ht="27.75" customHeight="1" x14ac:dyDescent="0.35">
      <c r="A24" s="7" t="s">
        <v>32</v>
      </c>
      <c r="B24" s="9">
        <v>4500</v>
      </c>
      <c r="C24" s="1" t="s">
        <v>33</v>
      </c>
      <c r="D24" s="1"/>
    </row>
    <row r="25" spans="1:4" ht="14.25" customHeight="1" x14ac:dyDescent="0.35">
      <c r="A25" s="7" t="s">
        <v>34</v>
      </c>
      <c r="B25" s="9">
        <v>1000</v>
      </c>
      <c r="C25" s="1" t="s">
        <v>35</v>
      </c>
      <c r="D25" s="1"/>
    </row>
    <row r="26" spans="1:4" ht="14.25" customHeight="1" x14ac:dyDescent="0.35">
      <c r="A26" s="7" t="s">
        <v>36</v>
      </c>
      <c r="B26" s="9">
        <v>200</v>
      </c>
      <c r="C26" s="1" t="s">
        <v>37</v>
      </c>
      <c r="D26" s="1"/>
    </row>
    <row r="27" spans="1:4" ht="14.25" customHeight="1" x14ac:dyDescent="0.35">
      <c r="A27" s="7" t="s">
        <v>38</v>
      </c>
      <c r="B27" s="9">
        <v>200</v>
      </c>
      <c r="C27" s="1" t="s">
        <v>39</v>
      </c>
      <c r="D27" s="1"/>
    </row>
    <row r="28" spans="1:4" ht="27.75" customHeight="1" x14ac:dyDescent="0.35">
      <c r="A28" s="7" t="s">
        <v>40</v>
      </c>
      <c r="B28" s="11">
        <v>0.05</v>
      </c>
      <c r="C28" s="1" t="s">
        <v>41</v>
      </c>
      <c r="D28" s="1" t="s">
        <v>42</v>
      </c>
    </row>
    <row r="29" spans="1:4" ht="27.75" customHeight="1" x14ac:dyDescent="0.35">
      <c r="A29" s="7" t="s">
        <v>43</v>
      </c>
      <c r="B29" s="11">
        <v>0.05</v>
      </c>
      <c r="C29" s="1" t="s">
        <v>41</v>
      </c>
      <c r="D29" s="1" t="s">
        <v>42</v>
      </c>
    </row>
    <row r="30" spans="1:4" ht="14.25" customHeight="1" x14ac:dyDescent="0.35">
      <c r="A30" s="1"/>
      <c r="B30" s="1"/>
      <c r="C30" s="1"/>
      <c r="D30" s="1"/>
    </row>
    <row r="31" spans="1:4" ht="14.25" customHeight="1" x14ac:dyDescent="0.35">
      <c r="A31" s="5" t="s">
        <v>44</v>
      </c>
      <c r="B31" s="1"/>
      <c r="C31" s="1"/>
      <c r="D31" s="1"/>
    </row>
    <row r="32" spans="1:4" ht="14.25" customHeight="1" x14ac:dyDescent="0.35">
      <c r="A32" s="6" t="s">
        <v>2</v>
      </c>
      <c r="B32" s="6" t="s">
        <v>3</v>
      </c>
      <c r="C32" s="12" t="s">
        <v>45</v>
      </c>
      <c r="D32" s="12" t="s">
        <v>46</v>
      </c>
    </row>
    <row r="33" spans="1:4" ht="28.5" customHeight="1" x14ac:dyDescent="0.35">
      <c r="A33" s="7" t="s">
        <v>47</v>
      </c>
      <c r="B33" s="9">
        <v>30000</v>
      </c>
      <c r="C33" s="13" t="s">
        <v>48</v>
      </c>
      <c r="D33" s="1" t="s">
        <v>49</v>
      </c>
    </row>
    <row r="34" spans="1:4" ht="28.5" customHeight="1" x14ac:dyDescent="0.35">
      <c r="A34" s="7" t="s">
        <v>50</v>
      </c>
      <c r="B34" s="11">
        <v>0.08</v>
      </c>
      <c r="C34" s="14"/>
      <c r="D34" s="1" t="s">
        <v>51</v>
      </c>
    </row>
    <row r="35" spans="1:4" ht="28.5" customHeight="1" x14ac:dyDescent="0.35">
      <c r="A35" s="7" t="s">
        <v>52</v>
      </c>
      <c r="B35" s="15">
        <v>3</v>
      </c>
      <c r="C35" s="16"/>
      <c r="D35" s="1" t="s">
        <v>53</v>
      </c>
    </row>
    <row r="36" spans="1:4" ht="28.5" customHeight="1" x14ac:dyDescent="0.35">
      <c r="A36" s="7" t="s">
        <v>54</v>
      </c>
      <c r="B36" s="15">
        <v>1</v>
      </c>
      <c r="C36" s="17"/>
      <c r="D36" s="1" t="s">
        <v>55</v>
      </c>
    </row>
    <row r="37" spans="1:4" ht="28.5" customHeight="1" x14ac:dyDescent="0.35">
      <c r="A37" s="7" t="s">
        <v>56</v>
      </c>
      <c r="B37" s="9">
        <v>20000</v>
      </c>
      <c r="C37" s="13" t="s">
        <v>57</v>
      </c>
      <c r="D37" s="1" t="s">
        <v>58</v>
      </c>
    </row>
    <row r="38" spans="1:4" ht="28.5" customHeight="1" x14ac:dyDescent="0.35">
      <c r="A38" s="7" t="s">
        <v>59</v>
      </c>
      <c r="B38" s="9">
        <v>0</v>
      </c>
      <c r="C38" s="13" t="s">
        <v>60</v>
      </c>
      <c r="D38" s="1" t="s">
        <v>61</v>
      </c>
    </row>
    <row r="39" spans="1:4" ht="28.5" customHeight="1" x14ac:dyDescent="0.35">
      <c r="A39" s="7" t="s">
        <v>62</v>
      </c>
      <c r="B39" s="9">
        <v>40000</v>
      </c>
      <c r="C39" s="13" t="s">
        <v>63</v>
      </c>
      <c r="D39" s="1" t="s">
        <v>64</v>
      </c>
    </row>
    <row r="40" spans="1:4" ht="28.5" customHeight="1" x14ac:dyDescent="0.35">
      <c r="A40" s="7" t="s">
        <v>65</v>
      </c>
      <c r="B40" s="9">
        <v>0</v>
      </c>
      <c r="C40" s="13" t="s">
        <v>66</v>
      </c>
      <c r="D40" s="1" t="s">
        <v>67</v>
      </c>
    </row>
    <row r="41" spans="1:4" ht="14.25" customHeight="1" x14ac:dyDescent="0.35">
      <c r="A41" s="1"/>
      <c r="B41" s="1"/>
      <c r="C41" s="1"/>
      <c r="D41" s="1"/>
    </row>
    <row r="42" spans="1:4" ht="14.25" customHeight="1" x14ac:dyDescent="0.35">
      <c r="A42" s="5" t="s">
        <v>68</v>
      </c>
      <c r="B42" s="1"/>
      <c r="C42" s="1"/>
      <c r="D42" s="1"/>
    </row>
    <row r="43" spans="1:4" ht="14.25" customHeight="1" x14ac:dyDescent="0.35">
      <c r="A43" s="6" t="s">
        <v>2</v>
      </c>
      <c r="B43" s="6" t="s">
        <v>3</v>
      </c>
      <c r="C43" s="1"/>
      <c r="D43" s="1"/>
    </row>
    <row r="44" spans="1:4" ht="27.75" customHeight="1" x14ac:dyDescent="0.35">
      <c r="A44" s="7" t="s">
        <v>69</v>
      </c>
      <c r="B44" s="11">
        <v>0.19</v>
      </c>
      <c r="C44" s="1" t="s">
        <v>70</v>
      </c>
      <c r="D44" s="1"/>
    </row>
    <row r="45" spans="1:4" ht="27.75" customHeight="1" x14ac:dyDescent="0.35">
      <c r="A45" s="7" t="s">
        <v>71</v>
      </c>
      <c r="B45" s="11">
        <v>0.7</v>
      </c>
      <c r="C45" s="1" t="s">
        <v>72</v>
      </c>
      <c r="D45" s="1"/>
    </row>
    <row r="46" spans="1:4" ht="27.75" customHeight="1" x14ac:dyDescent="0.35">
      <c r="A46" s="7" t="s">
        <v>73</v>
      </c>
      <c r="B46" s="9">
        <v>540</v>
      </c>
      <c r="C46" s="1" t="s">
        <v>74</v>
      </c>
      <c r="D46" s="1"/>
    </row>
    <row r="47" spans="1:4" ht="27.75" customHeight="1" x14ac:dyDescent="0.35">
      <c r="A47" s="7" t="s">
        <v>75</v>
      </c>
      <c r="B47" s="9">
        <v>216</v>
      </c>
      <c r="C47" s="1" t="s">
        <v>76</v>
      </c>
      <c r="D47" s="1"/>
    </row>
    <row r="48" spans="1:4" ht="27.75" customHeight="1" x14ac:dyDescent="0.35">
      <c r="A48" s="7" t="s">
        <v>77</v>
      </c>
      <c r="B48" s="18">
        <v>360</v>
      </c>
      <c r="C48" s="1" t="s">
        <v>78</v>
      </c>
      <c r="D48" s="1"/>
    </row>
    <row r="49" spans="1:4" ht="27.75" customHeight="1" x14ac:dyDescent="0.35">
      <c r="A49" s="7" t="s">
        <v>79</v>
      </c>
      <c r="B49" s="9">
        <v>14400</v>
      </c>
      <c r="C49" s="1" t="s">
        <v>80</v>
      </c>
      <c r="D49" s="1"/>
    </row>
    <row r="50" spans="1:4" ht="14.25" customHeight="1" x14ac:dyDescent="0.35">
      <c r="A50" s="1"/>
      <c r="B50" s="1"/>
      <c r="C50" s="1"/>
      <c r="D50" s="1"/>
    </row>
    <row r="51" spans="1:4" ht="14.25" customHeight="1" x14ac:dyDescent="0.35">
      <c r="A51" s="5"/>
      <c r="B51" s="1"/>
      <c r="C51" s="1"/>
      <c r="D51" s="1"/>
    </row>
    <row r="52" spans="1:4" ht="14.25" customHeight="1" x14ac:dyDescent="0.35">
      <c r="A52" s="19"/>
      <c r="B52" s="1"/>
      <c r="C52" s="1"/>
      <c r="D52" s="1"/>
    </row>
    <row r="53" spans="1:4" ht="43.5" customHeight="1" x14ac:dyDescent="0.35">
      <c r="A53" s="20" t="s">
        <v>81</v>
      </c>
      <c r="B53" s="21" t="s">
        <v>82</v>
      </c>
      <c r="C53" s="21" t="s">
        <v>83</v>
      </c>
      <c r="D53" s="21" t="s">
        <v>84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9D18E"/>
  </sheetPr>
  <dimension ref="A1:C17"/>
  <sheetViews>
    <sheetView zoomScaleNormal="100" workbookViewId="0">
      <pane ySplit="3" topLeftCell="A6" activePane="bottomLeft" state="frozen"/>
      <selection pane="bottomLeft" activeCell="B18" sqref="B18"/>
    </sheetView>
  </sheetViews>
  <sheetFormatPr defaultColWidth="18.90625" defaultRowHeight="14.25" customHeight="1" x14ac:dyDescent="0.35"/>
  <cols>
    <col min="1" max="1" width="35" customWidth="1"/>
    <col min="2" max="2" width="21" customWidth="1"/>
    <col min="3" max="3" width="42" customWidth="1"/>
  </cols>
  <sheetData>
    <row r="1" spans="1:3" ht="18" customHeight="1" x14ac:dyDescent="0.35">
      <c r="A1" s="3" t="s">
        <v>85</v>
      </c>
      <c r="B1" s="3"/>
      <c r="C1" s="3"/>
    </row>
    <row r="2" spans="1:3" ht="14.25" customHeight="1" x14ac:dyDescent="0.35">
      <c r="A2" s="22"/>
      <c r="B2" s="22"/>
      <c r="C2" s="22"/>
    </row>
    <row r="3" spans="1:3" ht="14.25" customHeight="1" x14ac:dyDescent="0.35">
      <c r="A3" s="12" t="s">
        <v>86</v>
      </c>
      <c r="B3" s="12" t="s">
        <v>87</v>
      </c>
      <c r="C3" s="12" t="s">
        <v>88</v>
      </c>
    </row>
    <row r="4" spans="1:3" ht="27.75" customHeight="1" x14ac:dyDescent="0.35">
      <c r="A4" s="16" t="s">
        <v>89</v>
      </c>
      <c r="B4" s="23">
        <v>18000</v>
      </c>
      <c r="C4" s="16" t="s">
        <v>90</v>
      </c>
    </row>
    <row r="5" spans="1:3" ht="27.75" customHeight="1" x14ac:dyDescent="0.35">
      <c r="A5" s="16" t="s">
        <v>91</v>
      </c>
      <c r="B5" s="23">
        <v>12000</v>
      </c>
      <c r="C5" s="16" t="s">
        <v>92</v>
      </c>
    </row>
    <row r="6" spans="1:3" ht="27.75" customHeight="1" x14ac:dyDescent="0.35">
      <c r="A6" s="16" t="s">
        <v>93</v>
      </c>
      <c r="B6" s="23">
        <v>7000</v>
      </c>
      <c r="C6" s="16" t="s">
        <v>94</v>
      </c>
    </row>
    <row r="7" spans="1:3" ht="27.75" customHeight="1" x14ac:dyDescent="0.35">
      <c r="A7" s="16" t="s">
        <v>95</v>
      </c>
      <c r="B7" s="23">
        <v>4000</v>
      </c>
      <c r="C7" s="16" t="s">
        <v>96</v>
      </c>
    </row>
    <row r="8" spans="1:3" ht="27.75" customHeight="1" x14ac:dyDescent="0.35">
      <c r="A8" s="16" t="s">
        <v>97</v>
      </c>
      <c r="B8" s="23">
        <v>7000</v>
      </c>
      <c r="C8" s="16" t="s">
        <v>98</v>
      </c>
    </row>
    <row r="9" spans="1:3" ht="27.75" customHeight="1" x14ac:dyDescent="0.35">
      <c r="A9" s="16" t="s">
        <v>99</v>
      </c>
      <c r="B9" s="23">
        <v>20000</v>
      </c>
      <c r="C9" s="16" t="s">
        <v>100</v>
      </c>
    </row>
    <row r="10" spans="1:3" ht="14.25" customHeight="1" x14ac:dyDescent="0.35">
      <c r="A10" s="16" t="s">
        <v>101</v>
      </c>
      <c r="B10" s="23">
        <v>4000</v>
      </c>
      <c r="C10" s="16" t="s">
        <v>102</v>
      </c>
    </row>
    <row r="11" spans="1:3" ht="27.75" customHeight="1" x14ac:dyDescent="0.35">
      <c r="A11" s="16" t="s">
        <v>103</v>
      </c>
      <c r="B11" s="23">
        <v>8000</v>
      </c>
      <c r="C11" s="16" t="s">
        <v>104</v>
      </c>
    </row>
    <row r="12" spans="1:3" ht="27.75" customHeight="1" x14ac:dyDescent="0.35">
      <c r="A12" s="16" t="s">
        <v>105</v>
      </c>
      <c r="B12" s="23">
        <v>8000</v>
      </c>
      <c r="C12" s="16" t="s">
        <v>106</v>
      </c>
    </row>
    <row r="13" spans="1:3" ht="27.75" customHeight="1" x14ac:dyDescent="0.35">
      <c r="A13" s="16" t="s">
        <v>107</v>
      </c>
      <c r="B13" s="23">
        <v>2000</v>
      </c>
      <c r="C13" s="16" t="s">
        <v>108</v>
      </c>
    </row>
    <row r="14" spans="1:3" ht="14.25" customHeight="1" x14ac:dyDescent="0.35">
      <c r="A14" s="16" t="s">
        <v>109</v>
      </c>
      <c r="B14" s="23">
        <v>0</v>
      </c>
      <c r="C14" s="16" t="s">
        <v>110</v>
      </c>
    </row>
    <row r="15" spans="1:3" ht="14.25" customHeight="1" x14ac:dyDescent="0.35">
      <c r="A15" s="12" t="s">
        <v>111</v>
      </c>
      <c r="B15" s="24">
        <f>SUM(B4:B14)</f>
        <v>90000</v>
      </c>
      <c r="C15" s="12"/>
    </row>
    <row r="16" spans="1:3" ht="14.25" customHeight="1" x14ac:dyDescent="0.35">
      <c r="A16" s="22"/>
      <c r="B16" s="25"/>
      <c r="C16" s="22"/>
    </row>
    <row r="17" spans="1:3" ht="14.25" customHeight="1" x14ac:dyDescent="0.35">
      <c r="A17" s="26" t="s">
        <v>112</v>
      </c>
      <c r="B17" s="24">
        <f>B15-'Funding Mix'!B9</f>
        <v>0</v>
      </c>
      <c r="C17" s="2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AL47"/>
  <sheetViews>
    <sheetView zoomScaleNormal="100" workbookViewId="0">
      <pane ySplit="3" topLeftCell="A4" activePane="bottomLeft" state="frozen"/>
      <selection pane="bottomLeft" activeCell="B5" sqref="B5"/>
    </sheetView>
  </sheetViews>
  <sheetFormatPr defaultColWidth="8.6328125" defaultRowHeight="14.25" customHeight="1" x14ac:dyDescent="0.35"/>
  <cols>
    <col min="1" max="1" width="42" style="27" customWidth="1"/>
    <col min="2" max="38" width="12" style="27" customWidth="1"/>
    <col min="39" max="16384" width="8.6328125" style="27"/>
  </cols>
  <sheetData>
    <row r="1" spans="1:38" ht="18" customHeight="1" x14ac:dyDescent="0.35">
      <c r="A1" s="4" t="s">
        <v>113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14.2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8" customHeight="1" x14ac:dyDescent="0.35">
      <c r="A3" s="6" t="s">
        <v>114</v>
      </c>
      <c r="B3" s="6" t="s">
        <v>115</v>
      </c>
      <c r="C3" s="6" t="s">
        <v>116</v>
      </c>
      <c r="D3" s="6" t="s">
        <v>117</v>
      </c>
      <c r="E3" s="6" t="s">
        <v>118</v>
      </c>
      <c r="F3" s="6" t="s">
        <v>119</v>
      </c>
      <c r="G3" s="6" t="s">
        <v>120</v>
      </c>
      <c r="H3" s="6" t="s">
        <v>121</v>
      </c>
      <c r="I3" s="6" t="s">
        <v>122</v>
      </c>
      <c r="J3" s="6" t="s">
        <v>123</v>
      </c>
      <c r="K3" s="6" t="s">
        <v>124</v>
      </c>
      <c r="L3" s="6" t="s">
        <v>125</v>
      </c>
      <c r="M3" s="6" t="s">
        <v>126</v>
      </c>
      <c r="N3" s="6" t="s">
        <v>127</v>
      </c>
      <c r="O3" s="6" t="s">
        <v>128</v>
      </c>
      <c r="P3" s="6" t="s">
        <v>129</v>
      </c>
      <c r="Q3" s="6" t="s">
        <v>130</v>
      </c>
      <c r="R3" s="6" t="s">
        <v>131</v>
      </c>
      <c r="S3" s="6" t="s">
        <v>132</v>
      </c>
      <c r="T3" s="6" t="s">
        <v>133</v>
      </c>
      <c r="U3" s="6" t="s">
        <v>134</v>
      </c>
      <c r="V3" s="6" t="s">
        <v>135</v>
      </c>
      <c r="W3" s="6" t="s">
        <v>136</v>
      </c>
      <c r="X3" s="6" t="s">
        <v>137</v>
      </c>
      <c r="Y3" s="6" t="s">
        <v>138</v>
      </c>
      <c r="Z3" s="6" t="s">
        <v>139</v>
      </c>
      <c r="AA3" s="6" t="s">
        <v>140</v>
      </c>
      <c r="AB3" s="6" t="s">
        <v>141</v>
      </c>
      <c r="AC3" s="6" t="s">
        <v>142</v>
      </c>
      <c r="AD3" s="6" t="s">
        <v>143</v>
      </c>
      <c r="AE3" s="6" t="s">
        <v>144</v>
      </c>
      <c r="AF3" s="6" t="s">
        <v>145</v>
      </c>
      <c r="AG3" s="6" t="s">
        <v>146</v>
      </c>
      <c r="AH3" s="6" t="s">
        <v>147</v>
      </c>
      <c r="AI3" s="6" t="s">
        <v>148</v>
      </c>
      <c r="AJ3" s="6" t="s">
        <v>149</v>
      </c>
      <c r="AK3" s="6" t="s">
        <v>150</v>
      </c>
      <c r="AL3" s="6" t="s">
        <v>151</v>
      </c>
    </row>
    <row r="4" spans="1:38" ht="14.25" customHeight="1" x14ac:dyDescent="0.35">
      <c r="A4" s="7" t="s">
        <v>152</v>
      </c>
      <c r="B4" s="24">
        <v>0</v>
      </c>
      <c r="C4" s="24">
        <f t="shared" ref="C4:AL4" si="0">B14</f>
        <v>20000</v>
      </c>
      <c r="D4" s="24">
        <f t="shared" si="0"/>
        <v>18859.909036157074</v>
      </c>
      <c r="E4" s="24">
        <f t="shared" si="0"/>
        <v>17719.818072314149</v>
      </c>
      <c r="F4" s="24">
        <f t="shared" si="0"/>
        <v>16579.727108471223</v>
      </c>
      <c r="G4" s="24">
        <f t="shared" si="0"/>
        <v>15439.636144628297</v>
      </c>
      <c r="H4" s="24">
        <f t="shared" si="0"/>
        <v>14299.545180785371</v>
      </c>
      <c r="I4" s="24">
        <f t="shared" si="0"/>
        <v>13159.454216942446</v>
      </c>
      <c r="J4" s="24">
        <f t="shared" si="0"/>
        <v>12019.36325309952</v>
      </c>
      <c r="K4" s="24">
        <f t="shared" si="0"/>
        <v>10879.272289256594</v>
      </c>
      <c r="L4" s="24">
        <f t="shared" si="0"/>
        <v>9739.1813254136687</v>
      </c>
      <c r="M4" s="24">
        <f t="shared" si="0"/>
        <v>8599.090361570743</v>
      </c>
      <c r="N4" s="24">
        <f t="shared" si="0"/>
        <v>7458.9993977278173</v>
      </c>
      <c r="O4" s="24">
        <f t="shared" si="0"/>
        <v>6318.9084338848916</v>
      </c>
      <c r="P4" s="24">
        <f t="shared" si="0"/>
        <v>6788.8174700419659</v>
      </c>
      <c r="Q4" s="24">
        <f t="shared" si="0"/>
        <v>7258.7265061990402</v>
      </c>
      <c r="R4" s="24">
        <f t="shared" si="0"/>
        <v>7728.6355423561145</v>
      </c>
      <c r="S4" s="24">
        <f t="shared" si="0"/>
        <v>8198.5445785131888</v>
      </c>
      <c r="T4" s="24">
        <f t="shared" si="0"/>
        <v>8668.4536146702631</v>
      </c>
      <c r="U4" s="24">
        <f t="shared" si="0"/>
        <v>9138.3626508273373</v>
      </c>
      <c r="V4" s="24">
        <f t="shared" si="0"/>
        <v>9608.2716869844116</v>
      </c>
      <c r="W4" s="24">
        <f t="shared" si="0"/>
        <v>10078.180723141486</v>
      </c>
      <c r="X4" s="24">
        <f t="shared" si="0"/>
        <v>10548.08975929856</v>
      </c>
      <c r="Y4" s="24">
        <f t="shared" si="0"/>
        <v>11017.998795455635</v>
      </c>
      <c r="Z4" s="24">
        <f t="shared" si="0"/>
        <v>11487.907831612709</v>
      </c>
      <c r="AA4" s="24">
        <f t="shared" si="0"/>
        <v>8743.0168677697839</v>
      </c>
      <c r="AB4" s="24">
        <f t="shared" si="0"/>
        <v>11308.425903926858</v>
      </c>
      <c r="AC4" s="24">
        <f t="shared" si="0"/>
        <v>13873.834940083932</v>
      </c>
      <c r="AD4" s="24">
        <f t="shared" si="0"/>
        <v>16439.243976241007</v>
      </c>
      <c r="AE4" s="24">
        <f t="shared" si="0"/>
        <v>19004.653012398081</v>
      </c>
      <c r="AF4" s="24">
        <f t="shared" si="0"/>
        <v>21570.062048555155</v>
      </c>
      <c r="AG4" s="24">
        <f t="shared" si="0"/>
        <v>24135.47108471223</v>
      </c>
      <c r="AH4" s="24">
        <f t="shared" si="0"/>
        <v>26700.880120869304</v>
      </c>
      <c r="AI4" s="24">
        <f t="shared" si="0"/>
        <v>29266.289157026378</v>
      </c>
      <c r="AJ4" s="24">
        <f t="shared" si="0"/>
        <v>31831.698193183453</v>
      </c>
      <c r="AK4" s="24">
        <f t="shared" si="0"/>
        <v>34397.10722934053</v>
      </c>
      <c r="AL4" s="24">
        <f t="shared" si="0"/>
        <v>36962.516265497601</v>
      </c>
    </row>
    <row r="5" spans="1:38" ht="14.25" customHeight="1" x14ac:dyDescent="0.35">
      <c r="A5" s="7" t="s">
        <v>153</v>
      </c>
      <c r="B5" s="24">
        <f>'Funding Mix'!B9</f>
        <v>90000</v>
      </c>
      <c r="C5" s="24">
        <v>0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4">
        <v>0</v>
      </c>
      <c r="M5" s="24">
        <v>0</v>
      </c>
      <c r="N5" s="24">
        <v>0</v>
      </c>
      <c r="O5" s="24">
        <v>0</v>
      </c>
      <c r="P5" s="24">
        <v>0</v>
      </c>
      <c r="Q5" s="24">
        <v>0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24">
        <v>0</v>
      </c>
      <c r="AJ5" s="24">
        <v>0</v>
      </c>
      <c r="AK5" s="24">
        <v>0</v>
      </c>
      <c r="AL5" s="24">
        <v>0</v>
      </c>
    </row>
    <row r="6" spans="1:38" ht="14.25" customHeight="1" x14ac:dyDescent="0.35">
      <c r="A6" s="7" t="s">
        <v>154</v>
      </c>
      <c r="B6" s="23">
        <f>'Startup Costs &amp; Use of Funds'!B15-'Startup Costs &amp; Use of Funds'!B9</f>
        <v>70000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  <c r="W6" s="23">
        <v>0</v>
      </c>
      <c r="X6" s="23">
        <v>0</v>
      </c>
      <c r="Y6" s="23">
        <v>0</v>
      </c>
      <c r="Z6" s="23">
        <v>0</v>
      </c>
      <c r="AA6" s="23">
        <v>0</v>
      </c>
      <c r="AB6" s="23">
        <v>0</v>
      </c>
      <c r="AC6" s="23">
        <v>0</v>
      </c>
      <c r="AD6" s="23">
        <v>0</v>
      </c>
      <c r="AE6" s="23">
        <v>0</v>
      </c>
      <c r="AF6" s="23">
        <v>0</v>
      </c>
      <c r="AG6" s="23">
        <v>0</v>
      </c>
      <c r="AH6" s="23">
        <v>0</v>
      </c>
      <c r="AI6" s="23">
        <v>0</v>
      </c>
      <c r="AJ6" s="23">
        <v>0</v>
      </c>
      <c r="AK6" s="23">
        <v>0</v>
      </c>
      <c r="AL6" s="23">
        <v>0</v>
      </c>
    </row>
    <row r="7" spans="1:38" ht="14.25" customHeight="1" x14ac:dyDescent="0.35">
      <c r="A7" s="7" t="s">
        <v>155</v>
      </c>
      <c r="B7" s="24">
        <v>0</v>
      </c>
      <c r="C7" s="24">
        <f>Assumptions!B11*Assumptions!B12*1</f>
        <v>13500</v>
      </c>
      <c r="D7" s="24">
        <f>Assumptions!B11*Assumptions!B12*1</f>
        <v>13500</v>
      </c>
      <c r="E7" s="24">
        <f>Assumptions!B11*Assumptions!B12*1</f>
        <v>13500</v>
      </c>
      <c r="F7" s="24">
        <f>Assumptions!B11*Assumptions!B12*1</f>
        <v>13500</v>
      </c>
      <c r="G7" s="24">
        <f>Assumptions!B11*Assumptions!B12*1</f>
        <v>13500</v>
      </c>
      <c r="H7" s="24">
        <f>Assumptions!B11*Assumptions!B12*1</f>
        <v>13500</v>
      </c>
      <c r="I7" s="24">
        <f>Assumptions!B11*Assumptions!B12*1</f>
        <v>13500</v>
      </c>
      <c r="J7" s="24">
        <f>Assumptions!B11*Assumptions!B12*1</f>
        <v>13500</v>
      </c>
      <c r="K7" s="24">
        <f>Assumptions!B11*Assumptions!B12*1</f>
        <v>13500</v>
      </c>
      <c r="L7" s="24">
        <f>Assumptions!B11*Assumptions!B12*1</f>
        <v>13500</v>
      </c>
      <c r="M7" s="24">
        <f>Assumptions!B11*Assumptions!B12*1</f>
        <v>13500</v>
      </c>
      <c r="N7" s="24">
        <f>Assumptions!B11*Assumptions!B12*1</f>
        <v>13500</v>
      </c>
      <c r="O7" s="24">
        <f>Assumptions!B11*Assumptions!B12*(1+Assumptions!B13)</f>
        <v>16875</v>
      </c>
      <c r="P7" s="24">
        <f>Assumptions!B11*Assumptions!B12*(1+Assumptions!B13)</f>
        <v>16875</v>
      </c>
      <c r="Q7" s="24">
        <f>Assumptions!B11*Assumptions!B12*(1+Assumptions!B13)</f>
        <v>16875</v>
      </c>
      <c r="R7" s="24">
        <f>Assumptions!B11*Assumptions!B12*(1+Assumptions!B13)</f>
        <v>16875</v>
      </c>
      <c r="S7" s="24">
        <f>Assumptions!B11*Assumptions!B12*(1+Assumptions!B13)</f>
        <v>16875</v>
      </c>
      <c r="T7" s="24">
        <f>Assumptions!B11*Assumptions!B12*(1+Assumptions!B13)</f>
        <v>16875</v>
      </c>
      <c r="U7" s="24">
        <f>Assumptions!B11*Assumptions!B12*(1+Assumptions!B13)</f>
        <v>16875</v>
      </c>
      <c r="V7" s="24">
        <f>Assumptions!B11*Assumptions!B12*(1+Assumptions!B13)</f>
        <v>16875</v>
      </c>
      <c r="W7" s="24">
        <f>Assumptions!B11*Assumptions!B12*(1+Assumptions!B13)</f>
        <v>16875</v>
      </c>
      <c r="X7" s="24">
        <f>Assumptions!B11*Assumptions!B12*(1+Assumptions!B13)</f>
        <v>16875</v>
      </c>
      <c r="Y7" s="24">
        <f>Assumptions!B11*Assumptions!B12*(1+Assumptions!B13)</f>
        <v>16875</v>
      </c>
      <c r="Z7" s="24">
        <f>Assumptions!B11*Assumptions!B12*(1+Assumptions!B13)</f>
        <v>16875</v>
      </c>
      <c r="AA7" s="24">
        <f>Assumptions!B11*Assumptions!B12*(1+Assumptions!B13)*(1+Assumptions!B14)</f>
        <v>21093.75</v>
      </c>
      <c r="AB7" s="24">
        <f>Assumptions!B11*Assumptions!B12*(1+Assumptions!B13)*(1+Assumptions!B14)</f>
        <v>21093.75</v>
      </c>
      <c r="AC7" s="24">
        <f>Assumptions!B11*Assumptions!B12*(1+Assumptions!B13)*(1+Assumptions!B14)</f>
        <v>21093.75</v>
      </c>
      <c r="AD7" s="24">
        <f>Assumptions!B11*Assumptions!B12*(1+Assumptions!B13)*(1+Assumptions!B14)</f>
        <v>21093.75</v>
      </c>
      <c r="AE7" s="24">
        <f>Assumptions!B11*Assumptions!B12*(1+Assumptions!B13)*(1+Assumptions!B14)</f>
        <v>21093.75</v>
      </c>
      <c r="AF7" s="24">
        <f>Assumptions!B11*Assumptions!B12*(1+Assumptions!B13)*(1+Assumptions!B14)</f>
        <v>21093.75</v>
      </c>
      <c r="AG7" s="24">
        <f>Assumptions!B11*Assumptions!B12*(1+Assumptions!B13)*(1+Assumptions!B14)</f>
        <v>21093.75</v>
      </c>
      <c r="AH7" s="24">
        <f>Assumptions!B11*Assumptions!B12*(1+Assumptions!B13)*(1+Assumptions!B14)</f>
        <v>21093.75</v>
      </c>
      <c r="AI7" s="24">
        <f>Assumptions!B11*Assumptions!B12*(1+Assumptions!B13)*(1+Assumptions!B14)</f>
        <v>21093.75</v>
      </c>
      <c r="AJ7" s="24">
        <f>Assumptions!B11*Assumptions!B12*(1+Assumptions!B13)*(1+Assumptions!B14)</f>
        <v>21093.75</v>
      </c>
      <c r="AK7" s="24">
        <f>Assumptions!B11*Assumptions!B12*(1+Assumptions!B13)*(1+Assumptions!B14)</f>
        <v>21093.75</v>
      </c>
      <c r="AL7" s="24">
        <f>Assumptions!B11*Assumptions!B12*(1+Assumptions!B13)*(1+Assumptions!B14)</f>
        <v>21093.75</v>
      </c>
    </row>
    <row r="8" spans="1:38" ht="14.25" customHeight="1" x14ac:dyDescent="0.35">
      <c r="A8" s="7" t="s">
        <v>156</v>
      </c>
      <c r="B8" s="24">
        <v>0</v>
      </c>
      <c r="C8" s="24">
        <f>C7*Assumptions!B18</f>
        <v>5400</v>
      </c>
      <c r="D8" s="24">
        <f>D7*Assumptions!B18</f>
        <v>5400</v>
      </c>
      <c r="E8" s="24">
        <f>E7*Assumptions!B18</f>
        <v>5400</v>
      </c>
      <c r="F8" s="24">
        <f>F7*Assumptions!B18</f>
        <v>5400</v>
      </c>
      <c r="G8" s="24">
        <f>G7*Assumptions!B18</f>
        <v>5400</v>
      </c>
      <c r="H8" s="24">
        <f>H7*Assumptions!B18</f>
        <v>5400</v>
      </c>
      <c r="I8" s="24">
        <f>I7*Assumptions!B18</f>
        <v>5400</v>
      </c>
      <c r="J8" s="24">
        <f>J7*Assumptions!B18</f>
        <v>5400</v>
      </c>
      <c r="K8" s="24">
        <f>K7*Assumptions!B18</f>
        <v>5400</v>
      </c>
      <c r="L8" s="24">
        <f>L7*Assumptions!B18</f>
        <v>5400</v>
      </c>
      <c r="M8" s="24">
        <f>M7*Assumptions!B18</f>
        <v>5400</v>
      </c>
      <c r="N8" s="24">
        <f>N7*Assumptions!B18</f>
        <v>5400</v>
      </c>
      <c r="O8" s="24">
        <f>O7*Assumptions!B18</f>
        <v>6750</v>
      </c>
      <c r="P8" s="24">
        <f>P7*Assumptions!B18</f>
        <v>6750</v>
      </c>
      <c r="Q8" s="24">
        <f>Q7*Assumptions!B18</f>
        <v>6750</v>
      </c>
      <c r="R8" s="24">
        <f>R7*Assumptions!B18</f>
        <v>6750</v>
      </c>
      <c r="S8" s="24">
        <f>S7*Assumptions!B18</f>
        <v>6750</v>
      </c>
      <c r="T8" s="24">
        <f>T7*Assumptions!B18</f>
        <v>6750</v>
      </c>
      <c r="U8" s="24">
        <f>U7*Assumptions!B18</f>
        <v>6750</v>
      </c>
      <c r="V8" s="24">
        <f>V7*Assumptions!B18</f>
        <v>6750</v>
      </c>
      <c r="W8" s="24">
        <f>W7*Assumptions!B18</f>
        <v>6750</v>
      </c>
      <c r="X8" s="24">
        <f>X7*Assumptions!B18</f>
        <v>6750</v>
      </c>
      <c r="Y8" s="24">
        <f>Y7*Assumptions!B18</f>
        <v>6750</v>
      </c>
      <c r="Z8" s="24">
        <f>Z7*Assumptions!B18</f>
        <v>6750</v>
      </c>
      <c r="AA8" s="24">
        <f>AA7*Assumptions!B18</f>
        <v>8437.5</v>
      </c>
      <c r="AB8" s="24">
        <f>AB7*Assumptions!B18</f>
        <v>8437.5</v>
      </c>
      <c r="AC8" s="24">
        <f>AC7*Assumptions!B18</f>
        <v>8437.5</v>
      </c>
      <c r="AD8" s="24">
        <f>AD7*Assumptions!B18</f>
        <v>8437.5</v>
      </c>
      <c r="AE8" s="24">
        <f>AE7*Assumptions!B18</f>
        <v>8437.5</v>
      </c>
      <c r="AF8" s="24">
        <f>AF7*Assumptions!B18</f>
        <v>8437.5</v>
      </c>
      <c r="AG8" s="24">
        <f>AG7*Assumptions!B18</f>
        <v>8437.5</v>
      </c>
      <c r="AH8" s="24">
        <f>AH7*Assumptions!B18</f>
        <v>8437.5</v>
      </c>
      <c r="AI8" s="24">
        <f>AI7*Assumptions!B18</f>
        <v>8437.5</v>
      </c>
      <c r="AJ8" s="24">
        <f>AJ7*Assumptions!B18</f>
        <v>8437.5</v>
      </c>
      <c r="AK8" s="24">
        <f>AK7*Assumptions!B18</f>
        <v>8437.5</v>
      </c>
      <c r="AL8" s="24">
        <f>AL7*Assumptions!B18</f>
        <v>8437.5</v>
      </c>
    </row>
    <row r="9" spans="1:38" ht="14.25" customHeight="1" x14ac:dyDescent="0.35">
      <c r="A9" s="7" t="s">
        <v>157</v>
      </c>
      <c r="B9" s="24">
        <v>0</v>
      </c>
      <c r="C9" s="24">
        <f>SUM(Assumptions!B22:B27)*1</f>
        <v>8300</v>
      </c>
      <c r="D9" s="24">
        <f>SUM(Assumptions!B22:B27)*1</f>
        <v>8300</v>
      </c>
      <c r="E9" s="24">
        <f>SUM(Assumptions!B22:B27)*1</f>
        <v>8300</v>
      </c>
      <c r="F9" s="24">
        <f>SUM(Assumptions!B22:B27)*1</f>
        <v>8300</v>
      </c>
      <c r="G9" s="24">
        <f>SUM(Assumptions!B22:B27)*1</f>
        <v>8300</v>
      </c>
      <c r="H9" s="24">
        <f>SUM(Assumptions!B22:B27)*1</f>
        <v>8300</v>
      </c>
      <c r="I9" s="24">
        <f>SUM(Assumptions!B22:B27)*1</f>
        <v>8300</v>
      </c>
      <c r="J9" s="24">
        <f>SUM(Assumptions!B22:B27)*1</f>
        <v>8300</v>
      </c>
      <c r="K9" s="24">
        <f>SUM(Assumptions!B22:B27)*1</f>
        <v>8300</v>
      </c>
      <c r="L9" s="24">
        <f>SUM(Assumptions!B22:B27)*1</f>
        <v>8300</v>
      </c>
      <c r="M9" s="24">
        <f>SUM(Assumptions!B22:B27)*1</f>
        <v>8300</v>
      </c>
      <c r="N9" s="24">
        <f>SUM(Assumptions!B22:B27)*1</f>
        <v>8300</v>
      </c>
      <c r="O9" s="24">
        <f>SUM(Assumptions!B22:B27)*(1+Assumptions!B28)</f>
        <v>8715</v>
      </c>
      <c r="P9" s="24">
        <f>SUM(Assumptions!B22:B27)*(1+Assumptions!B28)</f>
        <v>8715</v>
      </c>
      <c r="Q9" s="24">
        <f>SUM(Assumptions!B22:B27)*(1+Assumptions!B28)</f>
        <v>8715</v>
      </c>
      <c r="R9" s="24">
        <f>SUM(Assumptions!B22:B27)*(1+Assumptions!B28)</f>
        <v>8715</v>
      </c>
      <c r="S9" s="24">
        <f>SUM(Assumptions!B22:B27)*(1+Assumptions!B28)</f>
        <v>8715</v>
      </c>
      <c r="T9" s="24">
        <f>SUM(Assumptions!B22:B27)*(1+Assumptions!B28)</f>
        <v>8715</v>
      </c>
      <c r="U9" s="24">
        <f>SUM(Assumptions!B22:B27)*(1+Assumptions!B28)</f>
        <v>8715</v>
      </c>
      <c r="V9" s="24">
        <f>SUM(Assumptions!B22:B27)*(1+Assumptions!B28)</f>
        <v>8715</v>
      </c>
      <c r="W9" s="24">
        <f>SUM(Assumptions!B22:B27)*(1+Assumptions!B28)</f>
        <v>8715</v>
      </c>
      <c r="X9" s="24">
        <f>SUM(Assumptions!B22:B27)*(1+Assumptions!B28)</f>
        <v>8715</v>
      </c>
      <c r="Y9" s="24">
        <f>SUM(Assumptions!B22:B27)*(1+Assumptions!B28)</f>
        <v>8715</v>
      </c>
      <c r="Z9" s="24">
        <f>SUM(Assumptions!B22:B27)*(1+Assumptions!B28)</f>
        <v>8715</v>
      </c>
      <c r="AA9" s="24">
        <f>SUM(Assumptions!B22:B27)*(1+Assumptions!B28)*(1+Assumptions!B29)</f>
        <v>9150.75</v>
      </c>
      <c r="AB9" s="24">
        <f>SUM(Assumptions!B22:B27)*(1+Assumptions!B28)*(1+Assumptions!B29)</f>
        <v>9150.75</v>
      </c>
      <c r="AC9" s="24">
        <f>SUM(Assumptions!B22:B27)*(1+Assumptions!B28)*(1+Assumptions!B29)</f>
        <v>9150.75</v>
      </c>
      <c r="AD9" s="24">
        <f>SUM(Assumptions!B22:B27)*(1+Assumptions!B28)*(1+Assumptions!B29)</f>
        <v>9150.75</v>
      </c>
      <c r="AE9" s="24">
        <f>SUM(Assumptions!B22:B27)*(1+Assumptions!B28)*(1+Assumptions!B29)</f>
        <v>9150.75</v>
      </c>
      <c r="AF9" s="24">
        <f>SUM(Assumptions!B22:B27)*(1+Assumptions!B28)*(1+Assumptions!B29)</f>
        <v>9150.75</v>
      </c>
      <c r="AG9" s="24">
        <f>SUM(Assumptions!B22:B27)*(1+Assumptions!B28)*(1+Assumptions!B29)</f>
        <v>9150.75</v>
      </c>
      <c r="AH9" s="24">
        <f>SUM(Assumptions!B22:B27)*(1+Assumptions!B28)*(1+Assumptions!B29)</f>
        <v>9150.75</v>
      </c>
      <c r="AI9" s="24">
        <f>SUM(Assumptions!B22:B27)*(1+Assumptions!B28)*(1+Assumptions!B29)</f>
        <v>9150.75</v>
      </c>
      <c r="AJ9" s="24">
        <f>SUM(Assumptions!B22:B27)*(1+Assumptions!B28)*(1+Assumptions!B29)</f>
        <v>9150.75</v>
      </c>
      <c r="AK9" s="24">
        <f>SUM(Assumptions!B22:B27)*(1+Assumptions!B28)*(1+Assumptions!B29)</f>
        <v>9150.75</v>
      </c>
      <c r="AL9" s="24">
        <f>SUM(Assumptions!B22:B27)*(1+Assumptions!B28)*(1+Assumptions!B29)</f>
        <v>9150.75</v>
      </c>
    </row>
    <row r="10" spans="1:38" ht="14.25" customHeight="1" x14ac:dyDescent="0.35">
      <c r="A10" s="7" t="s">
        <v>158</v>
      </c>
      <c r="B10" s="24">
        <v>0</v>
      </c>
      <c r="C10" s="24">
        <f>IF(1&lt;Assumptions!B36,0,-PMT(Assumptions!B34/12,Assumptions!B35*12,Assumptions!B33))</f>
        <v>940.09096384292548</v>
      </c>
      <c r="D10" s="24">
        <f>IF(2&lt;Assumptions!B36,0,-PMT(Assumptions!B34/12,Assumptions!B35*12,Assumptions!B33))</f>
        <v>940.09096384292548</v>
      </c>
      <c r="E10" s="24">
        <f>IF(3&lt;Assumptions!B36,0,-PMT(Assumptions!B34/12,Assumptions!B35*12,Assumptions!B33))</f>
        <v>940.09096384292548</v>
      </c>
      <c r="F10" s="24">
        <f>IF(4&lt;Assumptions!B36,0,-PMT(Assumptions!B34/12,Assumptions!B35*12,Assumptions!B33))</f>
        <v>940.09096384292548</v>
      </c>
      <c r="G10" s="24">
        <f>IF(5&lt;Assumptions!B36,0,-PMT(Assumptions!B34/12,Assumptions!B35*12,Assumptions!B33))</f>
        <v>940.09096384292548</v>
      </c>
      <c r="H10" s="24">
        <f>IF(6&lt;Assumptions!B36,0,-PMT(Assumptions!B34/12,Assumptions!B35*12,Assumptions!B33))</f>
        <v>940.09096384292548</v>
      </c>
      <c r="I10" s="24">
        <f>IF(7&lt;Assumptions!B36,0,-PMT(Assumptions!B34/12,Assumptions!B35*12,Assumptions!B33))</f>
        <v>940.09096384292548</v>
      </c>
      <c r="J10" s="24">
        <f>IF(8&lt;Assumptions!B36,0,-PMT(Assumptions!B34/12,Assumptions!B35*12,Assumptions!B33))</f>
        <v>940.09096384292548</v>
      </c>
      <c r="K10" s="24">
        <f>IF(9&lt;Assumptions!B36,0,-PMT(Assumptions!B34/12,Assumptions!B35*12,Assumptions!B33))</f>
        <v>940.09096384292548</v>
      </c>
      <c r="L10" s="24">
        <f>IF(10&lt;Assumptions!B36,0,-PMT(Assumptions!B34/12,Assumptions!B35*12,Assumptions!B33))</f>
        <v>940.09096384292548</v>
      </c>
      <c r="M10" s="24">
        <f>IF(11&lt;Assumptions!B36,0,-PMT(Assumptions!B34/12,Assumptions!B35*12,Assumptions!B33))</f>
        <v>940.09096384292548</v>
      </c>
      <c r="N10" s="24">
        <f>IF(12&lt;Assumptions!B36,0,-PMT(Assumptions!B34/12,Assumptions!B35*12,Assumptions!B33))</f>
        <v>940.09096384292548</v>
      </c>
      <c r="O10" s="24">
        <f>IF(13&lt;Assumptions!B36,0,-PMT(Assumptions!B34/12,Assumptions!B35*12,Assumptions!B33))</f>
        <v>940.09096384292548</v>
      </c>
      <c r="P10" s="24">
        <f>IF(14&lt;Assumptions!B36,0,-PMT(Assumptions!B34/12,Assumptions!B35*12,Assumptions!B33))</f>
        <v>940.09096384292548</v>
      </c>
      <c r="Q10" s="24">
        <f>IF(15&lt;Assumptions!B36,0,-PMT(Assumptions!B34/12,Assumptions!B35*12,Assumptions!B33))</f>
        <v>940.09096384292548</v>
      </c>
      <c r="R10" s="24">
        <f>IF(16&lt;Assumptions!B36,0,-PMT(Assumptions!B34/12,Assumptions!B35*12,Assumptions!B33))</f>
        <v>940.09096384292548</v>
      </c>
      <c r="S10" s="24">
        <f>IF(17&lt;Assumptions!B36,0,-PMT(Assumptions!B34/12,Assumptions!B35*12,Assumptions!B33))</f>
        <v>940.09096384292548</v>
      </c>
      <c r="T10" s="24">
        <f>IF(18&lt;Assumptions!B36,0,-PMT(Assumptions!B34/12,Assumptions!B35*12,Assumptions!B33))</f>
        <v>940.09096384292548</v>
      </c>
      <c r="U10" s="24">
        <f>IF(19&lt;Assumptions!B36,0,-PMT(Assumptions!B34/12,Assumptions!B35*12,Assumptions!B33))</f>
        <v>940.09096384292548</v>
      </c>
      <c r="V10" s="24">
        <f>IF(20&lt;Assumptions!B36,0,-PMT(Assumptions!B34/12,Assumptions!B35*12,Assumptions!B33))</f>
        <v>940.09096384292548</v>
      </c>
      <c r="W10" s="24">
        <f>IF(21&lt;Assumptions!B36,0,-PMT(Assumptions!B34/12,Assumptions!B35*12,Assumptions!B33))</f>
        <v>940.09096384292548</v>
      </c>
      <c r="X10" s="24">
        <f>IF(22&lt;Assumptions!B36,0,-PMT(Assumptions!B34/12,Assumptions!B35*12,Assumptions!B33))</f>
        <v>940.09096384292548</v>
      </c>
      <c r="Y10" s="24">
        <f>IF(23&lt;Assumptions!B36,0,-PMT(Assumptions!B34/12,Assumptions!B35*12,Assumptions!B33))</f>
        <v>940.09096384292548</v>
      </c>
      <c r="Z10" s="24">
        <f>IF(24&lt;Assumptions!B36,0,-PMT(Assumptions!B34/12,Assumptions!B35*12,Assumptions!B33))</f>
        <v>940.09096384292548</v>
      </c>
      <c r="AA10" s="24">
        <f>IF(25&lt;Assumptions!B36,0,-PMT(Assumptions!B34/12,Assumptions!B35*12,Assumptions!B33))</f>
        <v>940.09096384292548</v>
      </c>
      <c r="AB10" s="24">
        <f>IF(26&lt;Assumptions!B36,0,-PMT(Assumptions!B34/12,Assumptions!B35*12,Assumptions!B33))</f>
        <v>940.09096384292548</v>
      </c>
      <c r="AC10" s="24">
        <f>IF(27&lt;Assumptions!B36,0,-PMT(Assumptions!B34/12,Assumptions!B35*12,Assumptions!B33))</f>
        <v>940.09096384292548</v>
      </c>
      <c r="AD10" s="24">
        <f>IF(28&lt;Assumptions!B36,0,-PMT(Assumptions!B34/12,Assumptions!B35*12,Assumptions!B33))</f>
        <v>940.09096384292548</v>
      </c>
      <c r="AE10" s="24">
        <f>IF(29&lt;Assumptions!B36,0,-PMT(Assumptions!B34/12,Assumptions!B35*12,Assumptions!B33))</f>
        <v>940.09096384292548</v>
      </c>
      <c r="AF10" s="24">
        <f>IF(30&lt;Assumptions!B36,0,-PMT(Assumptions!B34/12,Assumptions!B35*12,Assumptions!B33))</f>
        <v>940.09096384292548</v>
      </c>
      <c r="AG10" s="24">
        <f>IF(31&lt;Assumptions!B36,0,-PMT(Assumptions!B34/12,Assumptions!B35*12,Assumptions!B33))</f>
        <v>940.09096384292548</v>
      </c>
      <c r="AH10" s="24">
        <f>IF(32&lt;Assumptions!B36,0,-PMT(Assumptions!B34/12,Assumptions!B35*12,Assumptions!B33))</f>
        <v>940.09096384292548</v>
      </c>
      <c r="AI10" s="24">
        <f>IF(33&lt;Assumptions!B36,0,-PMT(Assumptions!B34/12,Assumptions!B35*12,Assumptions!B33))</f>
        <v>940.09096384292548</v>
      </c>
      <c r="AJ10" s="24">
        <f>IF(34&lt;Assumptions!B36,0,-PMT(Assumptions!B34/12,Assumptions!B35*12,Assumptions!B33))</f>
        <v>940.09096384292548</v>
      </c>
      <c r="AK10" s="24">
        <f>IF(35&lt;Assumptions!B36,0,-PMT(Assumptions!B34/12,Assumptions!B35*12,Assumptions!B33))</f>
        <v>940.09096384292548</v>
      </c>
      <c r="AL10" s="24">
        <f>IF(36&lt;Assumptions!B36,0,-PMT(Assumptions!B34/12,Assumptions!B35*12,Assumptions!B33))</f>
        <v>940.09096384292548</v>
      </c>
    </row>
    <row r="11" spans="1:38" ht="14.25" customHeight="1" x14ac:dyDescent="0.35">
      <c r="A11" s="7" t="s">
        <v>159</v>
      </c>
      <c r="B11" s="24">
        <v>0</v>
      </c>
      <c r="C11" s="24">
        <f>IF(1&lt;Assumptions!B36,0,-IPMT(Assumptions!B34/12,1-Assumptions!B36+1,Assumptions!B35*12,Assumptions!B33))</f>
        <v>200</v>
      </c>
      <c r="D11" s="24">
        <f>IF(2&lt;Assumptions!B36,0,-IPMT(Assumptions!B34/12,2-Assumptions!B36+1,Assumptions!B35*12,Assumptions!B33))</f>
        <v>195.06606024104721</v>
      </c>
      <c r="E11" s="24">
        <f>IF(3&lt;Assumptions!B36,0,-IPMT(Assumptions!B34/12,3-Assumptions!B36+1,Assumptions!B35*12,Assumptions!B33))</f>
        <v>190.09922755036797</v>
      </c>
      <c r="F11" s="24">
        <f>IF(4&lt;Assumptions!B36,0,-IPMT(Assumptions!B34/12,4-Assumptions!B36+1,Assumptions!B35*12,Assumptions!B33))</f>
        <v>185.09928264175093</v>
      </c>
      <c r="G11" s="24">
        <f>IF(5&lt;Assumptions!B36,0,-IPMT(Assumptions!B34/12,5-Assumptions!B36+1,Assumptions!B35*12,Assumptions!B33))</f>
        <v>180.06600476707644</v>
      </c>
      <c r="H11" s="24">
        <f>IF(6&lt;Assumptions!B36,0,-IPMT(Assumptions!B34/12,6-Assumptions!B36+1,Assumptions!B35*12,Assumptions!B33))</f>
        <v>174.99917170657079</v>
      </c>
      <c r="I11" s="24">
        <f>IF(7&lt;Assumptions!B36,0,-IPMT(Assumptions!B34/12,7-Assumptions!B36+1,Assumptions!B35*12,Assumptions!B33))</f>
        <v>169.89855975899511</v>
      </c>
      <c r="J11" s="24">
        <f>IF(8&lt;Assumptions!B36,0,-IPMT(Assumptions!B34/12,8-Assumptions!B36+1,Assumptions!B35*12,Assumptions!B33))</f>
        <v>164.76394373176888</v>
      </c>
      <c r="K11" s="24">
        <f>IF(9&lt;Assumptions!B36,0,-IPMT(Assumptions!B34/12,9-Assumptions!B36+1,Assumptions!B35*12,Assumptions!B33))</f>
        <v>159.59509693102783</v>
      </c>
      <c r="L11" s="24">
        <f>IF(10&lt;Assumptions!B36,0,-IPMT(Assumptions!B34/12,10-Assumptions!B36+1,Assumptions!B35*12,Assumptions!B33))</f>
        <v>154.39179115161519</v>
      </c>
      <c r="M11" s="24">
        <f>IF(11&lt;Assumptions!B36,0,-IPMT(Assumptions!B34/12,11-Assumptions!B36+1,Assumptions!B35*12,Assumptions!B33))</f>
        <v>149.15379666700645</v>
      </c>
      <c r="N11" s="24">
        <f>IF(12&lt;Assumptions!B36,0,-IPMT(Assumptions!B34/12,12-Assumptions!B36+1,Assumptions!B35*12,Assumptions!B33))</f>
        <v>143.88088221916701</v>
      </c>
      <c r="O11" s="24">
        <f>IF(13&lt;Assumptions!B36,0,-IPMT(Assumptions!B34/12,13-Assumptions!B36+1,Assumptions!B35*12,Assumptions!B33))</f>
        <v>138.57281500834193</v>
      </c>
      <c r="P11" s="24">
        <f>IF(14&lt;Assumptions!B36,0,-IPMT(Assumptions!B34/12,14-Assumptions!B36+1,Assumptions!B35*12,Assumptions!B33))</f>
        <v>133.22936068277804</v>
      </c>
      <c r="Q11" s="24">
        <f>IF(15&lt;Assumptions!B36,0,-IPMT(Assumptions!B34/12,15-Assumptions!B36+1,Assumptions!B35*12,Assumptions!B33))</f>
        <v>127.85028332837707</v>
      </c>
      <c r="R11" s="24">
        <f>IF(16&lt;Assumptions!B36,0,-IPMT(Assumptions!B34/12,16-Assumptions!B36+1,Assumptions!B35*12,Assumptions!B33))</f>
        <v>122.43534545828007</v>
      </c>
      <c r="S11" s="24">
        <f>IF(17&lt;Assumptions!B36,0,-IPMT(Assumptions!B34/12,17-Assumptions!B36+1,Assumptions!B35*12,Assumptions!B33))</f>
        <v>116.98430800238245</v>
      </c>
      <c r="T11" s="24">
        <f>IF(18&lt;Assumptions!B36,0,-IPMT(Assumptions!B34/12,18-Assumptions!B36+1,Assumptions!B35*12,Assumptions!B33))</f>
        <v>111.49693029677881</v>
      </c>
      <c r="U11" s="24">
        <f>IF(19&lt;Assumptions!B36,0,-IPMT(Assumptions!B34/12,19-Assumptions!B36+1,Assumptions!B35*12,Assumptions!B33))</f>
        <v>105.97297007313783</v>
      </c>
      <c r="V11" s="24">
        <f>IF(20&lt;Assumptions!B36,0,-IPMT(Assumptions!B34/12,20-Assumptions!B36+1,Assumptions!B35*12,Assumptions!B33))</f>
        <v>100.41218344800591</v>
      </c>
      <c r="W11" s="24">
        <f>IF(21&lt;Assumptions!B36,0,-IPMT(Assumptions!B34/12,21-Assumptions!B36+1,Assumptions!B35*12,Assumptions!B33))</f>
        <v>94.81432491203978</v>
      </c>
      <c r="X11" s="24">
        <f>IF(22&lt;Assumptions!B36,0,-IPMT(Assumptions!B34/12,22-Assumptions!B36+1,Assumptions!B35*12,Assumptions!B33))</f>
        <v>89.179147319167214</v>
      </c>
      <c r="Y11" s="24">
        <f>IF(23&lt;Assumptions!B36,0,-IPMT(Assumptions!B34/12,23-Assumptions!B36+1,Assumptions!B35*12,Assumptions!B33))</f>
        <v>83.506401875675493</v>
      </c>
      <c r="Z11" s="24">
        <f>IF(24&lt;Assumptions!B36,0,-IPMT(Assumptions!B34/12,24-Assumptions!B36+1,Assumptions!B35*12,Assumptions!B33))</f>
        <v>77.79583812922715</v>
      </c>
      <c r="AA11" s="24">
        <f>IF(25&lt;Assumptions!B36,0,-IPMT(Assumptions!B34/12,25-Assumptions!B36+1,Assumptions!B35*12,Assumptions!B33))</f>
        <v>72.047203957802495</v>
      </c>
      <c r="AB11" s="24">
        <f>IF(26&lt;Assumptions!B36,0,-IPMT(Assumptions!B34/12,26-Assumptions!B36+1,Assumptions!B35*12,Assumptions!B33))</f>
        <v>66.260245558568357</v>
      </c>
      <c r="AC11" s="24">
        <f>IF(27&lt;Assumptions!B36,0,-IPMT(Assumptions!B34/12,27-Assumptions!B36+1,Assumptions!B35*12,Assumptions!B33))</f>
        <v>60.434707436672632</v>
      </c>
      <c r="AD11" s="24">
        <f>IF(28&lt;Assumptions!B36,0,-IPMT(Assumptions!B34/12,28-Assumptions!B36+1,Assumptions!B35*12,Assumptions!B33))</f>
        <v>54.570332393964279</v>
      </c>
      <c r="AE11" s="24">
        <f>IF(29&lt;Assumptions!B36,0,-IPMT(Assumptions!B34/12,29-Assumptions!B36+1,Assumptions!B35*12,Assumptions!B33))</f>
        <v>48.666861517637862</v>
      </c>
      <c r="AF11" s="24">
        <f>IF(30&lt;Assumptions!B36,0,-IPMT(Assumptions!B34/12,30-Assumptions!B36+1,Assumptions!B35*12,Assumptions!B33))</f>
        <v>42.724034168802611</v>
      </c>
      <c r="AG11" s="24">
        <f>IF(31&lt;Assumptions!B36,0,-IPMT(Assumptions!B34/12,31-Assumptions!B36+1,Assumptions!B35*12,Assumptions!B33))</f>
        <v>36.741587970975132</v>
      </c>
      <c r="AH11" s="24">
        <f>IF(32&lt;Assumptions!B36,0,-IPMT(Assumptions!B34/12,32-Assumptions!B36+1,Assumptions!B35*12,Assumptions!B33))</f>
        <v>30.719258798495463</v>
      </c>
      <c r="AI11" s="24">
        <f>IF(33&lt;Assumptions!B36,0,-IPMT(Assumptions!B34/12,33-Assumptions!B36+1,Assumptions!B35*12,Assumptions!B33))</f>
        <v>24.656780764865925</v>
      </c>
      <c r="AJ11" s="24">
        <f>IF(34&lt;Assumptions!B36,0,-IPMT(Assumptions!B34/12,34-Assumptions!B36+1,Assumptions!B35*12,Assumptions!B33))</f>
        <v>18.553886211012191</v>
      </c>
      <c r="AK11" s="24">
        <f>IF(35&lt;Assumptions!B36,0,-IPMT(Assumptions!B34/12,35-Assumptions!B36+1,Assumptions!B35*12,Assumptions!B33))</f>
        <v>12.410305693466102</v>
      </c>
      <c r="AL11" s="24">
        <f>IF(36&lt;Assumptions!B36,0,-IPMT(Assumptions!B34/12,36-Assumptions!B36+1,Assumptions!B35*12,Assumptions!B33))</f>
        <v>6.225767972469705</v>
      </c>
    </row>
    <row r="12" spans="1:38" ht="14.25" customHeight="1" x14ac:dyDescent="0.35">
      <c r="A12" s="7" t="s">
        <v>160</v>
      </c>
      <c r="B12" s="24">
        <v>0</v>
      </c>
      <c r="C12" s="24">
        <f>0</f>
        <v>0</v>
      </c>
      <c r="D12" s="24">
        <f>0</f>
        <v>0</v>
      </c>
      <c r="E12" s="24">
        <f>0</f>
        <v>0</v>
      </c>
      <c r="F12" s="24">
        <f>0</f>
        <v>0</v>
      </c>
      <c r="G12" s="24">
        <f>0</f>
        <v>0</v>
      </c>
      <c r="H12" s="24">
        <f>0</f>
        <v>0</v>
      </c>
      <c r="I12" s="24">
        <f>0</f>
        <v>0</v>
      </c>
      <c r="J12" s="24">
        <f>0</f>
        <v>0</v>
      </c>
      <c r="K12" s="24">
        <f>0</f>
        <v>0</v>
      </c>
      <c r="L12" s="24">
        <f>0</f>
        <v>0</v>
      </c>
      <c r="M12" s="24">
        <f>0</f>
        <v>0</v>
      </c>
      <c r="N12" s="24">
        <f>'P&amp;L_3yr'!B11</f>
        <v>0</v>
      </c>
      <c r="O12" s="24">
        <f>0</f>
        <v>0</v>
      </c>
      <c r="P12" s="24">
        <f>0</f>
        <v>0</v>
      </c>
      <c r="Q12" s="24">
        <f>0</f>
        <v>0</v>
      </c>
      <c r="R12" s="24">
        <f>0</f>
        <v>0</v>
      </c>
      <c r="S12" s="24">
        <f>0</f>
        <v>0</v>
      </c>
      <c r="T12" s="24">
        <f>0</f>
        <v>0</v>
      </c>
      <c r="U12" s="24">
        <f>0</f>
        <v>0</v>
      </c>
      <c r="V12" s="24">
        <f>0</f>
        <v>0</v>
      </c>
      <c r="W12" s="24">
        <f>0</f>
        <v>0</v>
      </c>
      <c r="X12" s="24">
        <f>0</f>
        <v>0</v>
      </c>
      <c r="Y12" s="24">
        <f>0</f>
        <v>0</v>
      </c>
      <c r="Z12" s="24">
        <f>'P&amp;L_3yr'!C11</f>
        <v>3214.8</v>
      </c>
      <c r="AA12" s="24">
        <f>0</f>
        <v>0</v>
      </c>
      <c r="AB12" s="24">
        <f>0</f>
        <v>0</v>
      </c>
      <c r="AC12" s="24">
        <f>0</f>
        <v>0</v>
      </c>
      <c r="AD12" s="24">
        <f>0</f>
        <v>0</v>
      </c>
      <c r="AE12" s="24">
        <f>0</f>
        <v>0</v>
      </c>
      <c r="AF12" s="24">
        <f>0</f>
        <v>0</v>
      </c>
      <c r="AG12" s="24">
        <f>0</f>
        <v>0</v>
      </c>
      <c r="AH12" s="24">
        <f>0</f>
        <v>0</v>
      </c>
      <c r="AI12" s="24">
        <f>0</f>
        <v>0</v>
      </c>
      <c r="AJ12" s="24">
        <f>0</f>
        <v>0</v>
      </c>
      <c r="AK12" s="24">
        <f>0</f>
        <v>0</v>
      </c>
      <c r="AL12" s="24">
        <f>'P&amp;L_3yr'!D11</f>
        <v>7992.54</v>
      </c>
    </row>
    <row r="13" spans="1:38" ht="14.25" customHeight="1" x14ac:dyDescent="0.35">
      <c r="A13" s="7" t="s">
        <v>161</v>
      </c>
      <c r="B13" s="24">
        <f t="shared" ref="B13:AL13" si="1">B5-B6+B7-B8-B9-B10-B12</f>
        <v>20000</v>
      </c>
      <c r="C13" s="24">
        <f t="shared" si="1"/>
        <v>-1140.0909638429255</v>
      </c>
      <c r="D13" s="24">
        <f t="shared" si="1"/>
        <v>-1140.0909638429255</v>
      </c>
      <c r="E13" s="24">
        <f t="shared" si="1"/>
        <v>-1140.0909638429255</v>
      </c>
      <c r="F13" s="24">
        <f t="shared" si="1"/>
        <v>-1140.0909638429255</v>
      </c>
      <c r="G13" s="24">
        <f t="shared" si="1"/>
        <v>-1140.0909638429255</v>
      </c>
      <c r="H13" s="24">
        <f t="shared" si="1"/>
        <v>-1140.0909638429255</v>
      </c>
      <c r="I13" s="24">
        <f t="shared" si="1"/>
        <v>-1140.0909638429255</v>
      </c>
      <c r="J13" s="24">
        <f t="shared" si="1"/>
        <v>-1140.0909638429255</v>
      </c>
      <c r="K13" s="24">
        <f t="shared" si="1"/>
        <v>-1140.0909638429255</v>
      </c>
      <c r="L13" s="24">
        <f t="shared" si="1"/>
        <v>-1140.0909638429255</v>
      </c>
      <c r="M13" s="24">
        <f t="shared" si="1"/>
        <v>-1140.0909638429255</v>
      </c>
      <c r="N13" s="24">
        <f t="shared" si="1"/>
        <v>-1140.0909638429255</v>
      </c>
      <c r="O13" s="24">
        <f t="shared" si="1"/>
        <v>469.90903615707452</v>
      </c>
      <c r="P13" s="24">
        <f t="shared" si="1"/>
        <v>469.90903615707452</v>
      </c>
      <c r="Q13" s="24">
        <f t="shared" si="1"/>
        <v>469.90903615707452</v>
      </c>
      <c r="R13" s="24">
        <f t="shared" si="1"/>
        <v>469.90903615707452</v>
      </c>
      <c r="S13" s="24">
        <f t="shared" si="1"/>
        <v>469.90903615707452</v>
      </c>
      <c r="T13" s="24">
        <f t="shared" si="1"/>
        <v>469.90903615707452</v>
      </c>
      <c r="U13" s="24">
        <f t="shared" si="1"/>
        <v>469.90903615707452</v>
      </c>
      <c r="V13" s="24">
        <f t="shared" si="1"/>
        <v>469.90903615707452</v>
      </c>
      <c r="W13" s="24">
        <f t="shared" si="1"/>
        <v>469.90903615707452</v>
      </c>
      <c r="X13" s="24">
        <f t="shared" si="1"/>
        <v>469.90903615707452</v>
      </c>
      <c r="Y13" s="24">
        <f t="shared" si="1"/>
        <v>469.90903615707452</v>
      </c>
      <c r="Z13" s="24">
        <f t="shared" si="1"/>
        <v>-2744.8909638429259</v>
      </c>
      <c r="AA13" s="24">
        <f t="shared" si="1"/>
        <v>2565.4090361570743</v>
      </c>
      <c r="AB13" s="24">
        <f t="shared" si="1"/>
        <v>2565.4090361570743</v>
      </c>
      <c r="AC13" s="24">
        <f t="shared" si="1"/>
        <v>2565.4090361570743</v>
      </c>
      <c r="AD13" s="24">
        <f t="shared" si="1"/>
        <v>2565.4090361570743</v>
      </c>
      <c r="AE13" s="24">
        <f t="shared" si="1"/>
        <v>2565.4090361570743</v>
      </c>
      <c r="AF13" s="24">
        <f t="shared" si="1"/>
        <v>2565.4090361570743</v>
      </c>
      <c r="AG13" s="24">
        <f t="shared" si="1"/>
        <v>2565.4090361570743</v>
      </c>
      <c r="AH13" s="24">
        <f t="shared" si="1"/>
        <v>2565.4090361570743</v>
      </c>
      <c r="AI13" s="24">
        <f t="shared" si="1"/>
        <v>2565.4090361570743</v>
      </c>
      <c r="AJ13" s="24">
        <f t="shared" si="1"/>
        <v>2565.4090361570743</v>
      </c>
      <c r="AK13" s="24">
        <f t="shared" si="1"/>
        <v>2565.4090361570743</v>
      </c>
      <c r="AL13" s="24">
        <f t="shared" si="1"/>
        <v>-5427.1309638429257</v>
      </c>
    </row>
    <row r="14" spans="1:38" ht="14.25" customHeight="1" x14ac:dyDescent="0.35">
      <c r="A14" s="1" t="s">
        <v>162</v>
      </c>
      <c r="B14" s="28">
        <f t="shared" ref="B14:AL14" si="2">B4+B13</f>
        <v>20000</v>
      </c>
      <c r="C14" s="28">
        <f t="shared" si="2"/>
        <v>18859.909036157074</v>
      </c>
      <c r="D14" s="28">
        <f t="shared" si="2"/>
        <v>17719.818072314149</v>
      </c>
      <c r="E14" s="28">
        <f t="shared" si="2"/>
        <v>16579.727108471223</v>
      </c>
      <c r="F14" s="28">
        <f t="shared" si="2"/>
        <v>15439.636144628297</v>
      </c>
      <c r="G14" s="28">
        <f t="shared" si="2"/>
        <v>14299.545180785371</v>
      </c>
      <c r="H14" s="28">
        <f t="shared" si="2"/>
        <v>13159.454216942446</v>
      </c>
      <c r="I14" s="28">
        <f t="shared" si="2"/>
        <v>12019.36325309952</v>
      </c>
      <c r="J14" s="28">
        <f t="shared" si="2"/>
        <v>10879.272289256594</v>
      </c>
      <c r="K14" s="28">
        <f t="shared" si="2"/>
        <v>9739.1813254136687</v>
      </c>
      <c r="L14" s="28">
        <f t="shared" si="2"/>
        <v>8599.090361570743</v>
      </c>
      <c r="M14" s="28">
        <f t="shared" si="2"/>
        <v>7458.9993977278173</v>
      </c>
      <c r="N14" s="28">
        <f t="shared" si="2"/>
        <v>6318.9084338848916</v>
      </c>
      <c r="O14" s="28">
        <f t="shared" si="2"/>
        <v>6788.8174700419659</v>
      </c>
      <c r="P14" s="28">
        <f t="shared" si="2"/>
        <v>7258.7265061990402</v>
      </c>
      <c r="Q14" s="28">
        <f t="shared" si="2"/>
        <v>7728.6355423561145</v>
      </c>
      <c r="R14" s="28">
        <f t="shared" si="2"/>
        <v>8198.5445785131888</v>
      </c>
      <c r="S14" s="28">
        <f t="shared" si="2"/>
        <v>8668.4536146702631</v>
      </c>
      <c r="T14" s="28">
        <f t="shared" si="2"/>
        <v>9138.3626508273373</v>
      </c>
      <c r="U14" s="28">
        <f t="shared" si="2"/>
        <v>9608.2716869844116</v>
      </c>
      <c r="V14" s="28">
        <f t="shared" si="2"/>
        <v>10078.180723141486</v>
      </c>
      <c r="W14" s="28">
        <f t="shared" si="2"/>
        <v>10548.08975929856</v>
      </c>
      <c r="X14" s="28">
        <f t="shared" si="2"/>
        <v>11017.998795455635</v>
      </c>
      <c r="Y14" s="28">
        <f t="shared" si="2"/>
        <v>11487.907831612709</v>
      </c>
      <c r="Z14" s="28">
        <f t="shared" si="2"/>
        <v>8743.0168677697839</v>
      </c>
      <c r="AA14" s="28">
        <f t="shared" si="2"/>
        <v>11308.425903926858</v>
      </c>
      <c r="AB14" s="28">
        <f t="shared" si="2"/>
        <v>13873.834940083932</v>
      </c>
      <c r="AC14" s="28">
        <f t="shared" si="2"/>
        <v>16439.243976241007</v>
      </c>
      <c r="AD14" s="28">
        <f t="shared" si="2"/>
        <v>19004.653012398081</v>
      </c>
      <c r="AE14" s="28">
        <f t="shared" si="2"/>
        <v>21570.062048555155</v>
      </c>
      <c r="AF14" s="28">
        <f t="shared" si="2"/>
        <v>24135.47108471223</v>
      </c>
      <c r="AG14" s="28">
        <f t="shared" si="2"/>
        <v>26700.880120869304</v>
      </c>
      <c r="AH14" s="28">
        <f t="shared" si="2"/>
        <v>29266.289157026378</v>
      </c>
      <c r="AI14" s="28">
        <f t="shared" si="2"/>
        <v>31831.698193183453</v>
      </c>
      <c r="AJ14" s="28">
        <f t="shared" si="2"/>
        <v>34397.10722934053</v>
      </c>
      <c r="AK14" s="28">
        <f t="shared" si="2"/>
        <v>36962.516265497601</v>
      </c>
      <c r="AL14" s="28">
        <f t="shared" si="2"/>
        <v>31535.385301654675</v>
      </c>
    </row>
    <row r="15" spans="1:38" ht="14.2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14.2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4.2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4.2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4.2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4.2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4.2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4.2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4.2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4.2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4.2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4.2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4.2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4.2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4.2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4.2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4.2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4.2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4.2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4.2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4.2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4.2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4.2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4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4.2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4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4.25" customHeight="1" x14ac:dyDescent="0.35">
      <c r="A42" s="5" t="s">
        <v>163</v>
      </c>
      <c r="B42" s="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4.25" customHeight="1" x14ac:dyDescent="0.35">
      <c r="A43" s="7" t="s">
        <v>163</v>
      </c>
      <c r="B43" s="7"/>
      <c r="C43" s="29">
        <f>IFERROR(SUM(C11:N11),0)</f>
        <v>2067.0138173663941</v>
      </c>
      <c r="D43" s="7" t="s">
        <v>164</v>
      </c>
      <c r="E43" s="29">
        <f>IFERROR(SUM(O11:Z11),0)</f>
        <v>1302.2499085341917</v>
      </c>
      <c r="F43" s="7" t="s">
        <v>165</v>
      </c>
      <c r="G43" s="29">
        <f>IFERROR(SUM(AA11:AL11),0)</f>
        <v>474.01097244473283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4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4.25" customHeight="1" x14ac:dyDescent="0.35">
      <c r="A45" s="1" t="s">
        <v>166</v>
      </c>
      <c r="B45" s="1">
        <f>SUM(C11:N11)</f>
        <v>2067.0138173663941</v>
      </c>
      <c r="C45" s="1">
        <f>SUM(O11:Z11)</f>
        <v>1302.2499085341917</v>
      </c>
      <c r="D45" s="1">
        <f>SUM(AA11:AL11)</f>
        <v>474.01097244473283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4.25" customHeight="1" x14ac:dyDescent="0.35">
      <c r="A46" s="1" t="s">
        <v>164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4.25" customHeight="1" x14ac:dyDescent="0.35">
      <c r="A47" s="1" t="s">
        <v>165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D17"/>
  <sheetViews>
    <sheetView zoomScaleNormal="100" workbookViewId="0">
      <selection activeCell="B4" sqref="B4"/>
    </sheetView>
  </sheetViews>
  <sheetFormatPr defaultColWidth="24.36328125" defaultRowHeight="14.25" customHeight="1" x14ac:dyDescent="0.35"/>
  <cols>
    <col min="1" max="1" width="42" customWidth="1"/>
    <col min="2" max="2" width="37" customWidth="1"/>
    <col min="3" max="4" width="42" customWidth="1"/>
  </cols>
  <sheetData>
    <row r="1" spans="1:4" ht="18" customHeight="1" x14ac:dyDescent="0.35">
      <c r="A1" s="63" t="s">
        <v>167</v>
      </c>
      <c r="B1" s="63"/>
      <c r="C1" s="63"/>
      <c r="D1" s="63"/>
    </row>
    <row r="2" spans="1:4" ht="14.25" customHeight="1" x14ac:dyDescent="0.35">
      <c r="A2" s="1"/>
      <c r="B2" s="1"/>
      <c r="C2" s="1"/>
      <c r="D2" s="1"/>
    </row>
    <row r="3" spans="1:4" ht="14.25" customHeight="1" x14ac:dyDescent="0.35">
      <c r="A3" s="12" t="s">
        <v>168</v>
      </c>
      <c r="B3" s="12" t="s">
        <v>87</v>
      </c>
      <c r="C3" s="12" t="s">
        <v>169</v>
      </c>
      <c r="D3" s="12" t="s">
        <v>45</v>
      </c>
    </row>
    <row r="4" spans="1:4" ht="57.75" customHeight="1" x14ac:dyDescent="0.35">
      <c r="A4" s="7" t="str">
        <f>Assumptions!A37</f>
        <v>Personal Savings (£)</v>
      </c>
      <c r="B4" s="24">
        <f>Assumptions!B37</f>
        <v>20000</v>
      </c>
      <c r="C4" s="30">
        <f>IF(SUM($B$4:$B$8)&gt;0,B4/SUM($B$4:$B$8),0)</f>
        <v>0.22222222222222221</v>
      </c>
      <c r="D4" s="31" t="str">
        <f>Assumptions!C37</f>
        <v>Founder capital demonstrating commitment and reducing external finance reliance.</v>
      </c>
    </row>
    <row r="5" spans="1:4" ht="57.75" customHeight="1" x14ac:dyDescent="0.35">
      <c r="A5" s="29" t="str">
        <f>Assumptions!A33</f>
        <v>Start-Up Loan Amount (£)</v>
      </c>
      <c r="B5" s="24">
        <f>Assumptions!B33</f>
        <v>30000</v>
      </c>
      <c r="C5" s="30">
        <f>IF(SUM($B$4:$B$8)&gt;0,B5/SUM($B$4:$B$8),0)</f>
        <v>0.33333333333333331</v>
      </c>
      <c r="D5" s="31" t="str">
        <f>Assumptions!C33</f>
        <v>Three-year start-up loan for equipment, premises and launch infrastructure.</v>
      </c>
    </row>
    <row r="6" spans="1:4" ht="57.75" customHeight="1" x14ac:dyDescent="0.35">
      <c r="A6" s="29" t="str">
        <f>Assumptions!A39</f>
        <v>Other Source of Funding (1)</v>
      </c>
      <c r="B6" s="24">
        <f>Assumptions!B39</f>
        <v>40000</v>
      </c>
      <c r="C6" s="30">
        <f>IF(SUM($B$4:$B$8)&gt;0,B6/SUM($B$4:$B$8),0)</f>
        <v>0.44444444444444442</v>
      </c>
      <c r="D6" s="31" t="str">
        <f>Assumptions!C39</f>
        <v>Angel equity funding providing growth capital without scheduled principal repayment.</v>
      </c>
    </row>
    <row r="7" spans="1:4" ht="57.75" customHeight="1" x14ac:dyDescent="0.35">
      <c r="A7" s="29" t="str">
        <f>Assumptions!A38</f>
        <v>Crowdfunding/Grant (£)</v>
      </c>
      <c r="B7" s="24">
        <f>Assumptions!B38</f>
        <v>0</v>
      </c>
      <c r="C7" s="30">
        <f>IF(SUM($B$4:$B$8)&gt;0,B7/SUM($B$4:$B$8),0)</f>
        <v>0</v>
      </c>
      <c r="D7" s="31" t="str">
        <f>Assumptions!C38</f>
        <v>No grant/crowdfunding assumed; treated as upside rather than required funding.</v>
      </c>
    </row>
    <row r="8" spans="1:4" ht="28.5" customHeight="1" x14ac:dyDescent="0.35">
      <c r="A8" s="29" t="str">
        <f>Assumptions!A40</f>
        <v>Other Source of Funding (2)</v>
      </c>
      <c r="B8" s="24">
        <f>Assumptions!B40</f>
        <v>0</v>
      </c>
      <c r="C8" s="30">
        <f>IF(SUM($B$4:$B$8)&gt;0,B8/SUM($B$4:$B$8),0)</f>
        <v>0</v>
      </c>
      <c r="D8" s="31" t="str">
        <f>Assumptions!C40</f>
        <v>No additional funding assumed in base case.</v>
      </c>
    </row>
    <row r="9" spans="1:4" ht="14.25" customHeight="1" x14ac:dyDescent="0.35">
      <c r="A9" s="12" t="s">
        <v>170</v>
      </c>
      <c r="B9" s="24">
        <f>SUM(B4:B8)</f>
        <v>90000</v>
      </c>
      <c r="C9" s="12"/>
      <c r="D9" s="26"/>
    </row>
    <row r="10" spans="1:4" ht="14.25" customHeight="1" x14ac:dyDescent="0.35">
      <c r="A10" s="1"/>
      <c r="B10" s="28"/>
      <c r="C10" s="1"/>
      <c r="D10" s="1"/>
    </row>
    <row r="11" spans="1:4" ht="14.25" customHeight="1" x14ac:dyDescent="0.35">
      <c r="A11" s="32" t="s">
        <v>171</v>
      </c>
      <c r="B11" s="24">
        <f>'Startup Costs &amp; Use of Funds'!B15</f>
        <v>90000</v>
      </c>
      <c r="C11" s="12" t="s">
        <v>172</v>
      </c>
      <c r="D11" s="7" t="str">
        <f>IF(B9=B11,"Balanced",IF(B9&lt;B11,"Funding Gap","Surplus Funding"))</f>
        <v>Balanced</v>
      </c>
    </row>
    <row r="12" spans="1:4" ht="14.25" customHeight="1" x14ac:dyDescent="0.35">
      <c r="A12" s="22" t="s">
        <v>173</v>
      </c>
      <c r="B12" s="24">
        <f>B9-B11</f>
        <v>0</v>
      </c>
      <c r="C12" s="1"/>
      <c r="D12" s="1"/>
    </row>
    <row r="13" spans="1:4" ht="14.25" customHeight="1" x14ac:dyDescent="0.35">
      <c r="A13" s="22"/>
      <c r="B13" s="22"/>
      <c r="C13" s="22"/>
      <c r="D13" s="22"/>
    </row>
    <row r="14" spans="1:4" ht="14.25" customHeight="1" x14ac:dyDescent="0.35">
      <c r="A14" s="22"/>
      <c r="B14" s="22"/>
      <c r="C14" s="22"/>
      <c r="D14" s="22"/>
    </row>
    <row r="15" spans="1:4" ht="14.25" customHeight="1" x14ac:dyDescent="0.35">
      <c r="A15" s="22"/>
      <c r="B15" s="22"/>
      <c r="C15" s="22"/>
      <c r="D15" s="22"/>
    </row>
    <row r="16" spans="1:4" ht="14.25" customHeight="1" x14ac:dyDescent="0.35">
      <c r="A16" s="22"/>
      <c r="B16" s="22"/>
      <c r="C16" s="22"/>
      <c r="D16" s="22"/>
    </row>
    <row r="17" spans="1:4" ht="14.25" customHeight="1" x14ac:dyDescent="0.35">
      <c r="A17" s="22"/>
      <c r="B17" s="22"/>
      <c r="C17" s="22"/>
      <c r="D17" s="22"/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D12"/>
  <sheetViews>
    <sheetView zoomScaleNormal="100" workbookViewId="0">
      <pane ySplit="3" topLeftCell="A4" activePane="bottomLeft" state="frozen"/>
      <selection pane="bottomLeft" activeCell="B4" sqref="B4"/>
    </sheetView>
  </sheetViews>
  <sheetFormatPr defaultColWidth="18.26953125" defaultRowHeight="14.25" customHeight="1" x14ac:dyDescent="0.35"/>
  <cols>
    <col min="1" max="1" width="42" customWidth="1"/>
    <col min="2" max="2" width="37" customWidth="1"/>
    <col min="3" max="4" width="34" customWidth="1"/>
  </cols>
  <sheetData>
    <row r="1" spans="1:4" ht="18" customHeight="1" x14ac:dyDescent="0.35">
      <c r="A1" s="64" t="s">
        <v>174</v>
      </c>
      <c r="B1" s="64"/>
      <c r="C1" s="64"/>
      <c r="D1" s="64"/>
    </row>
    <row r="2" spans="1:4" ht="14.25" customHeight="1" x14ac:dyDescent="0.35">
      <c r="A2" s="1"/>
      <c r="B2" s="1"/>
      <c r="C2" s="1"/>
      <c r="D2" s="1"/>
    </row>
    <row r="3" spans="1:4" ht="14.25" customHeight="1" x14ac:dyDescent="0.35">
      <c r="A3" s="6" t="s">
        <v>86</v>
      </c>
      <c r="B3" s="6" t="s">
        <v>175</v>
      </c>
      <c r="C3" s="6" t="s">
        <v>176</v>
      </c>
      <c r="D3" s="6" t="s">
        <v>177</v>
      </c>
    </row>
    <row r="4" spans="1:4" ht="14.25" customHeight="1" x14ac:dyDescent="0.35">
      <c r="A4" s="7" t="s">
        <v>155</v>
      </c>
      <c r="B4" s="24">
        <f>Assumptions!B11*Assumptions!B12*12</f>
        <v>162000</v>
      </c>
      <c r="C4" s="24">
        <f>B4*(1+Assumptions!B13)</f>
        <v>202500</v>
      </c>
      <c r="D4" s="24">
        <f>C4*(1+Assumptions!B14)</f>
        <v>253125</v>
      </c>
    </row>
    <row r="5" spans="1:4" ht="14.25" customHeight="1" x14ac:dyDescent="0.35">
      <c r="A5" s="7" t="s">
        <v>156</v>
      </c>
      <c r="B5" s="24">
        <f>B4*Assumptions!B18</f>
        <v>64800</v>
      </c>
      <c r="C5" s="24">
        <f>C4*Assumptions!B18</f>
        <v>81000</v>
      </c>
      <c r="D5" s="24">
        <f>D4*Assumptions!B18</f>
        <v>101250</v>
      </c>
    </row>
    <row r="6" spans="1:4" ht="14.25" customHeight="1" x14ac:dyDescent="0.35">
      <c r="A6" s="7" t="s">
        <v>178</v>
      </c>
      <c r="B6" s="24">
        <f>B4-B5</f>
        <v>97200</v>
      </c>
      <c r="C6" s="24">
        <f>C4-C5</f>
        <v>121500</v>
      </c>
      <c r="D6" s="24">
        <f>D4-D5</f>
        <v>151875</v>
      </c>
    </row>
    <row r="7" spans="1:4" ht="14.25" customHeight="1" x14ac:dyDescent="0.35">
      <c r="A7" s="7" t="s">
        <v>157</v>
      </c>
      <c r="B7" s="24">
        <f>SUM(Assumptions!B22:B27)*12</f>
        <v>99600</v>
      </c>
      <c r="C7" s="24">
        <f>B7*(1+Assumptions!B28)</f>
        <v>104580</v>
      </c>
      <c r="D7" s="24">
        <f>C7*(1+Assumptions!B29)</f>
        <v>109809</v>
      </c>
    </row>
    <row r="8" spans="1:4" ht="14.25" customHeight="1" x14ac:dyDescent="0.35">
      <c r="A8" s="7" t="s">
        <v>179</v>
      </c>
      <c r="B8" s="24">
        <f>B6-B7</f>
        <v>-2400</v>
      </c>
      <c r="C8" s="24">
        <f>C6-C7</f>
        <v>16920</v>
      </c>
      <c r="D8" s="24">
        <f>D6-D7</f>
        <v>42066</v>
      </c>
    </row>
    <row r="9" spans="1:4" ht="14.25" customHeight="1" x14ac:dyDescent="0.35">
      <c r="A9" s="7" t="s">
        <v>180</v>
      </c>
      <c r="B9" s="24">
        <f>CashFlow_36m!B46</f>
        <v>0</v>
      </c>
      <c r="C9" s="24">
        <f>CashFlow_36m!C46</f>
        <v>0</v>
      </c>
      <c r="D9" s="24">
        <f>CashFlow_36m!D46</f>
        <v>0</v>
      </c>
    </row>
    <row r="10" spans="1:4" ht="14.25" customHeight="1" x14ac:dyDescent="0.35">
      <c r="A10" s="7" t="s">
        <v>181</v>
      </c>
      <c r="B10" s="24">
        <f>B8-B9</f>
        <v>-2400</v>
      </c>
      <c r="C10" s="24">
        <f>C8-C9</f>
        <v>16920</v>
      </c>
      <c r="D10" s="24">
        <f>D8-D9</f>
        <v>42066</v>
      </c>
    </row>
    <row r="11" spans="1:4" ht="14.25" customHeight="1" x14ac:dyDescent="0.35">
      <c r="A11" s="7" t="s">
        <v>182</v>
      </c>
      <c r="B11" s="24">
        <f>IF(B10&gt;0,B10*Assumptions!B44,0)</f>
        <v>0</v>
      </c>
      <c r="C11" s="24">
        <f>IF(C10&gt;0,C10*Assumptions!B44,0)</f>
        <v>3214.8</v>
      </c>
      <c r="D11" s="24">
        <f>IF(D10&gt;0,D10*Assumptions!B44,0)</f>
        <v>7992.54</v>
      </c>
    </row>
    <row r="12" spans="1:4" ht="14.25" customHeight="1" x14ac:dyDescent="0.35">
      <c r="A12" s="7" t="s">
        <v>183</v>
      </c>
      <c r="B12" s="24">
        <f>B10-B11</f>
        <v>-2400</v>
      </c>
      <c r="C12" s="24">
        <f>C10-C11</f>
        <v>13705.2</v>
      </c>
      <c r="D12" s="24">
        <f>D10-D11</f>
        <v>34073.46</v>
      </c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A1:AA54"/>
  <sheetViews>
    <sheetView zoomScale="57" zoomScaleNormal="57" workbookViewId="0">
      <pane ySplit="3" topLeftCell="A4" activePane="bottomLeft" state="frozen"/>
      <selection pane="bottomLeft" activeCell="C5" sqref="C5"/>
    </sheetView>
  </sheetViews>
  <sheetFormatPr defaultColWidth="8.7265625" defaultRowHeight="14.25" customHeight="1" x14ac:dyDescent="0.35"/>
  <cols>
    <col min="1" max="1" width="12" customWidth="1"/>
    <col min="2" max="3" width="42" customWidth="1"/>
    <col min="4" max="6" width="12" customWidth="1"/>
    <col min="7" max="7" width="15" customWidth="1"/>
    <col min="8" max="8" width="14" customWidth="1"/>
    <col min="9" max="9" width="12" customWidth="1"/>
    <col min="10" max="10" width="12.54296875" bestFit="1" customWidth="1"/>
    <col min="11" max="24" width="12" customWidth="1"/>
    <col min="25" max="25" width="16" customWidth="1"/>
    <col min="26" max="26" width="13" customWidth="1"/>
    <col min="27" max="27" width="16" customWidth="1"/>
  </cols>
  <sheetData>
    <row r="1" spans="1:27" ht="14.25" customHeight="1" x14ac:dyDescent="0.35">
      <c r="A1" s="4"/>
      <c r="B1" s="4" t="s">
        <v>184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 t="s">
        <v>185</v>
      </c>
      <c r="Z1" s="4" t="s">
        <v>186</v>
      </c>
      <c r="AA1" s="4" t="s">
        <v>187</v>
      </c>
    </row>
    <row r="2" spans="1:27" ht="27.75" customHeight="1" x14ac:dyDescent="0.35">
      <c r="A2" s="1"/>
      <c r="B2" s="1" t="s">
        <v>188</v>
      </c>
      <c r="C2" s="1"/>
      <c r="D2" s="1"/>
      <c r="E2" s="33"/>
      <c r="F2" s="33"/>
      <c r="G2" s="33"/>
      <c r="H2" s="34" t="s">
        <v>189</v>
      </c>
      <c r="I2" s="33"/>
      <c r="J2" s="33"/>
      <c r="K2" s="3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>
        <v>0</v>
      </c>
      <c r="Z2" s="1">
        <v>0</v>
      </c>
      <c r="AA2" s="35">
        <v>90000</v>
      </c>
    </row>
    <row r="3" spans="1:27" ht="14.25" customHeight="1" x14ac:dyDescent="0.35">
      <c r="A3" s="1"/>
      <c r="B3" s="1"/>
      <c r="C3" s="1"/>
      <c r="D3" s="1"/>
      <c r="E3" s="33" t="s">
        <v>190</v>
      </c>
      <c r="F3" s="33" t="s">
        <v>191</v>
      </c>
      <c r="G3" s="33" t="s">
        <v>192</v>
      </c>
      <c r="H3" s="33" t="s">
        <v>189</v>
      </c>
      <c r="I3" s="33" t="s">
        <v>193</v>
      </c>
      <c r="J3" s="33" t="s">
        <v>194</v>
      </c>
      <c r="K3" s="33" t="s">
        <v>195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>
        <v>500</v>
      </c>
      <c r="Z3" s="35">
        <v>25000</v>
      </c>
      <c r="AA3" s="35">
        <v>101250</v>
      </c>
    </row>
    <row r="4" spans="1:27" ht="14.25" customHeight="1" x14ac:dyDescent="0.35">
      <c r="A4" s="1"/>
      <c r="B4" s="7" t="s">
        <v>196</v>
      </c>
      <c r="C4" s="7">
        <v>0</v>
      </c>
      <c r="D4" s="1"/>
      <c r="E4" s="1">
        <v>0</v>
      </c>
      <c r="F4" s="36">
        <f t="shared" ref="F4:F35" si="0">E4*$C$6</f>
        <v>0</v>
      </c>
      <c r="G4" s="36">
        <f t="shared" ref="G4:G35" si="1">E4*$C$7</f>
        <v>0</v>
      </c>
      <c r="H4" s="36">
        <f t="shared" ref="H4:H35" si="2">F4-G4</f>
        <v>0</v>
      </c>
      <c r="I4" s="36">
        <f t="shared" ref="I4:I35" si="3">$C$9</f>
        <v>99600</v>
      </c>
      <c r="J4" s="36">
        <f t="shared" ref="J4:J35" si="4">G4+I4</f>
        <v>99600</v>
      </c>
      <c r="K4" s="37">
        <f t="shared" ref="K4:K35" si="5">F4-J4</f>
        <v>-99600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35">
        <v>1000</v>
      </c>
      <c r="Z4" s="35">
        <v>50000</v>
      </c>
      <c r="AA4" s="35">
        <v>112500</v>
      </c>
    </row>
    <row r="5" spans="1:27" ht="14.25" customHeight="1" x14ac:dyDescent="0.35">
      <c r="A5" s="1"/>
      <c r="B5" s="7" t="s">
        <v>197</v>
      </c>
      <c r="C5" s="38">
        <v>100</v>
      </c>
      <c r="D5" s="1"/>
      <c r="E5" s="1">
        <f t="shared" ref="E5:E36" si="6">E4+$C$5</f>
        <v>100</v>
      </c>
      <c r="F5" s="36">
        <f t="shared" si="0"/>
        <v>4500</v>
      </c>
      <c r="G5" s="36">
        <f t="shared" si="1"/>
        <v>1800</v>
      </c>
      <c r="H5" s="36">
        <f t="shared" si="2"/>
        <v>2700</v>
      </c>
      <c r="I5" s="36">
        <f t="shared" si="3"/>
        <v>99600</v>
      </c>
      <c r="J5" s="36">
        <f t="shared" si="4"/>
        <v>101400</v>
      </c>
      <c r="K5" s="37">
        <f t="shared" si="5"/>
        <v>-96900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35">
        <v>1500</v>
      </c>
      <c r="Z5" s="35">
        <v>75000</v>
      </c>
      <c r="AA5" s="35">
        <v>123750</v>
      </c>
    </row>
    <row r="6" spans="1:27" ht="14.25" customHeight="1" x14ac:dyDescent="0.35">
      <c r="A6" s="1"/>
      <c r="B6" s="7" t="s">
        <v>198</v>
      </c>
      <c r="C6" s="39">
        <f>Assumptions!B11</f>
        <v>45</v>
      </c>
      <c r="D6" s="1"/>
      <c r="E6" s="1">
        <f t="shared" si="6"/>
        <v>200</v>
      </c>
      <c r="F6" s="36">
        <f t="shared" si="0"/>
        <v>9000</v>
      </c>
      <c r="G6" s="36">
        <f t="shared" si="1"/>
        <v>3600</v>
      </c>
      <c r="H6" s="36">
        <f t="shared" si="2"/>
        <v>5400</v>
      </c>
      <c r="I6" s="36">
        <f t="shared" si="3"/>
        <v>99600</v>
      </c>
      <c r="J6" s="36">
        <f t="shared" si="4"/>
        <v>103200</v>
      </c>
      <c r="K6" s="37">
        <f t="shared" si="5"/>
        <v>-94200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35">
        <v>2000</v>
      </c>
      <c r="Z6" s="35">
        <v>100000</v>
      </c>
      <c r="AA6" s="35">
        <v>135000</v>
      </c>
    </row>
    <row r="7" spans="1:27" ht="14.25" customHeight="1" x14ac:dyDescent="0.35">
      <c r="A7" s="1"/>
      <c r="B7" s="7" t="s">
        <v>199</v>
      </c>
      <c r="C7" s="39">
        <f>Assumptions!B11*Assumptions!B18</f>
        <v>18</v>
      </c>
      <c r="D7" s="1"/>
      <c r="E7" s="1">
        <f t="shared" si="6"/>
        <v>300</v>
      </c>
      <c r="F7" s="36">
        <f t="shared" si="0"/>
        <v>13500</v>
      </c>
      <c r="G7" s="36">
        <f t="shared" si="1"/>
        <v>5400</v>
      </c>
      <c r="H7" s="36">
        <f t="shared" si="2"/>
        <v>8100</v>
      </c>
      <c r="I7" s="36">
        <f t="shared" si="3"/>
        <v>99600</v>
      </c>
      <c r="J7" s="36">
        <f t="shared" si="4"/>
        <v>105000</v>
      </c>
      <c r="K7" s="37">
        <f t="shared" si="5"/>
        <v>-91500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35">
        <v>2500</v>
      </c>
      <c r="Z7" s="35">
        <v>125000</v>
      </c>
      <c r="AA7" s="35">
        <v>146250</v>
      </c>
    </row>
    <row r="8" spans="1:27" ht="14.25" customHeight="1" x14ac:dyDescent="0.35">
      <c r="A8" s="1"/>
      <c r="B8" s="7" t="s">
        <v>200</v>
      </c>
      <c r="C8" s="40">
        <f>C6-C7</f>
        <v>27</v>
      </c>
      <c r="D8" s="1"/>
      <c r="E8" s="1">
        <f t="shared" si="6"/>
        <v>400</v>
      </c>
      <c r="F8" s="36">
        <f t="shared" si="0"/>
        <v>18000</v>
      </c>
      <c r="G8" s="36">
        <f t="shared" si="1"/>
        <v>7200</v>
      </c>
      <c r="H8" s="36">
        <f t="shared" si="2"/>
        <v>10800</v>
      </c>
      <c r="I8" s="36">
        <f t="shared" si="3"/>
        <v>99600</v>
      </c>
      <c r="J8" s="36">
        <f t="shared" si="4"/>
        <v>106800</v>
      </c>
      <c r="K8" s="37">
        <f t="shared" si="5"/>
        <v>-88800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35">
        <v>3000</v>
      </c>
      <c r="Z8" s="35">
        <v>150000</v>
      </c>
      <c r="AA8" s="35">
        <v>157500</v>
      </c>
    </row>
    <row r="9" spans="1:27" ht="14.25" customHeight="1" x14ac:dyDescent="0.35">
      <c r="A9" s="1"/>
      <c r="B9" s="7" t="s">
        <v>201</v>
      </c>
      <c r="C9" s="39">
        <f>SUM(Assumptions!B22:B27)*12</f>
        <v>99600</v>
      </c>
      <c r="D9" s="1"/>
      <c r="E9" s="1">
        <f t="shared" si="6"/>
        <v>500</v>
      </c>
      <c r="F9" s="36">
        <f t="shared" si="0"/>
        <v>22500</v>
      </c>
      <c r="G9" s="36">
        <f t="shared" si="1"/>
        <v>9000</v>
      </c>
      <c r="H9" s="36">
        <f t="shared" si="2"/>
        <v>13500</v>
      </c>
      <c r="I9" s="36">
        <f t="shared" si="3"/>
        <v>99600</v>
      </c>
      <c r="J9" s="36">
        <f t="shared" si="4"/>
        <v>108600</v>
      </c>
      <c r="K9" s="37">
        <f t="shared" si="5"/>
        <v>-86100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41">
        <v>3272.73</v>
      </c>
      <c r="Z9" s="41">
        <v>163636.35999999999</v>
      </c>
      <c r="AA9" s="41">
        <v>163636.35999999999</v>
      </c>
    </row>
    <row r="10" spans="1:27" ht="14.25" customHeight="1" x14ac:dyDescent="0.35">
      <c r="A10" s="1"/>
      <c r="B10" s="7"/>
      <c r="C10" s="7"/>
      <c r="D10" s="1"/>
      <c r="E10" s="1">
        <f t="shared" si="6"/>
        <v>600</v>
      </c>
      <c r="F10" s="36">
        <f t="shared" si="0"/>
        <v>27000</v>
      </c>
      <c r="G10" s="36">
        <f t="shared" si="1"/>
        <v>10800</v>
      </c>
      <c r="H10" s="36">
        <f t="shared" si="2"/>
        <v>16200</v>
      </c>
      <c r="I10" s="36">
        <f t="shared" si="3"/>
        <v>99600</v>
      </c>
      <c r="J10" s="36">
        <f t="shared" si="4"/>
        <v>110400</v>
      </c>
      <c r="K10" s="37">
        <f t="shared" si="5"/>
        <v>-83400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35">
        <v>3500</v>
      </c>
      <c r="Z10" s="35">
        <v>175000</v>
      </c>
      <c r="AA10" s="35">
        <v>168750</v>
      </c>
    </row>
    <row r="11" spans="1:27" ht="14.25" customHeight="1" x14ac:dyDescent="0.35">
      <c r="A11" s="1"/>
      <c r="B11" s="7" t="s">
        <v>202</v>
      </c>
      <c r="C11" s="42">
        <f>C9/C8</f>
        <v>3688.8888888888887</v>
      </c>
      <c r="D11" s="1"/>
      <c r="E11" s="1">
        <f t="shared" si="6"/>
        <v>700</v>
      </c>
      <c r="F11" s="36">
        <f t="shared" si="0"/>
        <v>31500</v>
      </c>
      <c r="G11" s="36">
        <f t="shared" si="1"/>
        <v>12600</v>
      </c>
      <c r="H11" s="36">
        <f t="shared" si="2"/>
        <v>18900</v>
      </c>
      <c r="I11" s="36">
        <f t="shared" si="3"/>
        <v>99600</v>
      </c>
      <c r="J11" s="36">
        <f t="shared" si="4"/>
        <v>112200</v>
      </c>
      <c r="K11" s="37">
        <f t="shared" si="5"/>
        <v>-80700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35">
        <v>4000</v>
      </c>
      <c r="Z11" s="35">
        <v>200000</v>
      </c>
      <c r="AA11" s="35">
        <v>180000</v>
      </c>
    </row>
    <row r="12" spans="1:27" ht="14.25" customHeight="1" x14ac:dyDescent="0.35">
      <c r="A12" s="1"/>
      <c r="B12" s="7" t="s">
        <v>203</v>
      </c>
      <c r="C12" s="40">
        <f>C11*C6</f>
        <v>166000</v>
      </c>
      <c r="D12" s="1"/>
      <c r="E12" s="1">
        <f t="shared" si="6"/>
        <v>800</v>
      </c>
      <c r="F12" s="36">
        <f t="shared" si="0"/>
        <v>36000</v>
      </c>
      <c r="G12" s="36">
        <f t="shared" si="1"/>
        <v>14400</v>
      </c>
      <c r="H12" s="36">
        <f t="shared" si="2"/>
        <v>21600</v>
      </c>
      <c r="I12" s="36">
        <f t="shared" si="3"/>
        <v>99600</v>
      </c>
      <c r="J12" s="36">
        <f t="shared" si="4"/>
        <v>114000</v>
      </c>
      <c r="K12" s="37">
        <f t="shared" si="5"/>
        <v>-78000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35">
        <v>4500</v>
      </c>
      <c r="Z12" s="35">
        <v>225000</v>
      </c>
      <c r="AA12" s="35">
        <v>191250</v>
      </c>
    </row>
    <row r="13" spans="1:27" ht="14.25" customHeight="1" x14ac:dyDescent="0.35">
      <c r="A13" s="1"/>
      <c r="B13" s="1"/>
      <c r="C13" s="1"/>
      <c r="D13" s="1"/>
      <c r="E13" s="1">
        <f t="shared" si="6"/>
        <v>900</v>
      </c>
      <c r="F13" s="36">
        <f t="shared" si="0"/>
        <v>40500</v>
      </c>
      <c r="G13" s="36">
        <f t="shared" si="1"/>
        <v>16200</v>
      </c>
      <c r="H13" s="36">
        <f t="shared" si="2"/>
        <v>24300</v>
      </c>
      <c r="I13" s="36">
        <f t="shared" si="3"/>
        <v>99600</v>
      </c>
      <c r="J13" s="36">
        <f t="shared" si="4"/>
        <v>115800</v>
      </c>
      <c r="K13" s="1">
        <f t="shared" si="5"/>
        <v>-75300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35">
        <v>5000</v>
      </c>
      <c r="Z13" s="35">
        <v>250000</v>
      </c>
      <c r="AA13" s="35">
        <v>202500</v>
      </c>
    </row>
    <row r="14" spans="1:27" ht="14.25" customHeight="1" x14ac:dyDescent="0.35">
      <c r="A14" s="1"/>
      <c r="B14" s="43" t="s">
        <v>204</v>
      </c>
      <c r="C14" s="1"/>
      <c r="D14" s="1"/>
      <c r="E14" s="1">
        <f t="shared" si="6"/>
        <v>1000</v>
      </c>
      <c r="F14" s="36">
        <f t="shared" si="0"/>
        <v>45000</v>
      </c>
      <c r="G14" s="36">
        <f t="shared" si="1"/>
        <v>18000</v>
      </c>
      <c r="H14" s="36">
        <f t="shared" si="2"/>
        <v>27000</v>
      </c>
      <c r="I14" s="36">
        <f t="shared" si="3"/>
        <v>99600</v>
      </c>
      <c r="J14" s="36">
        <f t="shared" si="4"/>
        <v>117600</v>
      </c>
      <c r="K14" s="1">
        <f t="shared" si="5"/>
        <v>-72600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35">
        <v>5500</v>
      </c>
      <c r="Z14" s="35">
        <v>275000</v>
      </c>
      <c r="AA14" s="35">
        <v>213750</v>
      </c>
    </row>
    <row r="15" spans="1:27" ht="27.75" customHeight="1" x14ac:dyDescent="0.35">
      <c r="A15" s="1"/>
      <c r="B15" s="1" t="str">
        <f>B11&amp;":"&amp;TEXT(C11,"0")&amp;CHAR(10)&amp;B12&amp;":"&amp;TEXT(C12,"£#,##0")</f>
        <v>Break Even (Units):3689
Break Even (Sales):£1,66,000</v>
      </c>
      <c r="C15" s="1"/>
      <c r="D15" s="1"/>
      <c r="E15" s="1">
        <f t="shared" si="6"/>
        <v>1100</v>
      </c>
      <c r="F15" s="36">
        <f t="shared" si="0"/>
        <v>49500</v>
      </c>
      <c r="G15" s="36">
        <f t="shared" si="1"/>
        <v>19800</v>
      </c>
      <c r="H15" s="36">
        <f t="shared" si="2"/>
        <v>29700</v>
      </c>
      <c r="I15" s="36">
        <f t="shared" si="3"/>
        <v>99600</v>
      </c>
      <c r="J15" s="36">
        <f t="shared" si="4"/>
        <v>119400</v>
      </c>
      <c r="K15" s="1">
        <f t="shared" si="5"/>
        <v>-69900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35">
        <v>6000</v>
      </c>
      <c r="Z15" s="35">
        <v>300000</v>
      </c>
      <c r="AA15" s="35">
        <v>225000</v>
      </c>
    </row>
    <row r="16" spans="1:27" ht="14.25" customHeight="1" x14ac:dyDescent="0.35">
      <c r="A16" s="1"/>
      <c r="B16" s="1"/>
      <c r="C16" s="1"/>
      <c r="D16" s="1"/>
      <c r="E16" s="1">
        <f t="shared" si="6"/>
        <v>1200</v>
      </c>
      <c r="F16" s="36">
        <f t="shared" si="0"/>
        <v>54000</v>
      </c>
      <c r="G16" s="36">
        <f t="shared" si="1"/>
        <v>21600</v>
      </c>
      <c r="H16" s="36">
        <f t="shared" si="2"/>
        <v>32400</v>
      </c>
      <c r="I16" s="36">
        <f t="shared" si="3"/>
        <v>99600</v>
      </c>
      <c r="J16" s="36">
        <f t="shared" si="4"/>
        <v>121200</v>
      </c>
      <c r="K16" s="1">
        <f t="shared" si="5"/>
        <v>-67200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.25" customHeight="1" x14ac:dyDescent="0.35">
      <c r="A17" s="1"/>
      <c r="B17" s="1"/>
      <c r="C17" s="1"/>
      <c r="D17" s="1"/>
      <c r="E17" s="1">
        <f t="shared" si="6"/>
        <v>1300</v>
      </c>
      <c r="F17" s="36">
        <f t="shared" si="0"/>
        <v>58500</v>
      </c>
      <c r="G17" s="36">
        <f t="shared" si="1"/>
        <v>23400</v>
      </c>
      <c r="H17" s="36">
        <f t="shared" si="2"/>
        <v>35100</v>
      </c>
      <c r="I17" s="36">
        <f t="shared" si="3"/>
        <v>99600</v>
      </c>
      <c r="J17" s="36">
        <f t="shared" si="4"/>
        <v>123000</v>
      </c>
      <c r="K17" s="1">
        <f t="shared" si="5"/>
        <v>-64500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95.25" customHeight="1" x14ac:dyDescent="0.35">
      <c r="A18" s="1"/>
      <c r="B18" s="44"/>
      <c r="C18" s="43" t="s">
        <v>205</v>
      </c>
      <c r="D18" s="1"/>
      <c r="E18" s="1">
        <f t="shared" si="6"/>
        <v>1400</v>
      </c>
      <c r="F18" s="36">
        <f t="shared" si="0"/>
        <v>63000</v>
      </c>
      <c r="G18" s="36">
        <f t="shared" si="1"/>
        <v>25200</v>
      </c>
      <c r="H18" s="36">
        <f t="shared" si="2"/>
        <v>37800</v>
      </c>
      <c r="I18" s="36">
        <f t="shared" si="3"/>
        <v>99600</v>
      </c>
      <c r="J18" s="36">
        <f t="shared" si="4"/>
        <v>124800</v>
      </c>
      <c r="K18" s="1">
        <f t="shared" si="5"/>
        <v>-61800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25" customHeight="1" x14ac:dyDescent="0.35">
      <c r="A19" s="1"/>
      <c r="B19" s="1"/>
      <c r="C19" s="1"/>
      <c r="D19" s="1"/>
      <c r="E19" s="1">
        <f t="shared" si="6"/>
        <v>1500</v>
      </c>
      <c r="F19" s="36">
        <f t="shared" si="0"/>
        <v>67500</v>
      </c>
      <c r="G19" s="36">
        <f t="shared" si="1"/>
        <v>27000</v>
      </c>
      <c r="H19" s="36">
        <f t="shared" si="2"/>
        <v>40500</v>
      </c>
      <c r="I19" s="36">
        <f t="shared" si="3"/>
        <v>99600</v>
      </c>
      <c r="J19" s="36">
        <f t="shared" si="4"/>
        <v>126600</v>
      </c>
      <c r="K19" s="1">
        <f t="shared" si="5"/>
        <v>-59100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25" customHeight="1" x14ac:dyDescent="0.35">
      <c r="A20" s="1"/>
      <c r="B20" s="1"/>
      <c r="C20" s="1"/>
      <c r="D20" s="1"/>
      <c r="E20" s="1">
        <f t="shared" si="6"/>
        <v>1600</v>
      </c>
      <c r="F20" s="36">
        <f t="shared" si="0"/>
        <v>72000</v>
      </c>
      <c r="G20" s="36">
        <f t="shared" si="1"/>
        <v>28800</v>
      </c>
      <c r="H20" s="36">
        <f t="shared" si="2"/>
        <v>43200</v>
      </c>
      <c r="I20" s="36">
        <f t="shared" si="3"/>
        <v>99600</v>
      </c>
      <c r="J20" s="36">
        <f t="shared" si="4"/>
        <v>128400</v>
      </c>
      <c r="K20" s="1">
        <f t="shared" si="5"/>
        <v>-56400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.25" customHeight="1" x14ac:dyDescent="0.35">
      <c r="A21" s="1"/>
      <c r="B21" s="1"/>
      <c r="C21" s="1"/>
      <c r="D21" s="1"/>
      <c r="E21" s="1">
        <f t="shared" si="6"/>
        <v>1700</v>
      </c>
      <c r="F21" s="36">
        <f t="shared" si="0"/>
        <v>76500</v>
      </c>
      <c r="G21" s="36">
        <f t="shared" si="1"/>
        <v>30600</v>
      </c>
      <c r="H21" s="36">
        <f t="shared" si="2"/>
        <v>45900</v>
      </c>
      <c r="I21" s="36">
        <f t="shared" si="3"/>
        <v>99600</v>
      </c>
      <c r="J21" s="36">
        <f t="shared" si="4"/>
        <v>130200</v>
      </c>
      <c r="K21" s="1">
        <f t="shared" si="5"/>
        <v>-53700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 customHeight="1" x14ac:dyDescent="0.35">
      <c r="A22" s="1"/>
      <c r="B22" s="1"/>
      <c r="C22" s="1"/>
      <c r="D22" s="1"/>
      <c r="E22" s="1">
        <f t="shared" si="6"/>
        <v>1800</v>
      </c>
      <c r="F22" s="36">
        <f t="shared" si="0"/>
        <v>81000</v>
      </c>
      <c r="G22" s="36">
        <f t="shared" si="1"/>
        <v>32400</v>
      </c>
      <c r="H22" s="36">
        <f t="shared" si="2"/>
        <v>48600</v>
      </c>
      <c r="I22" s="36">
        <f t="shared" si="3"/>
        <v>99600</v>
      </c>
      <c r="J22" s="36">
        <f t="shared" si="4"/>
        <v>132000</v>
      </c>
      <c r="K22" s="1">
        <f t="shared" si="5"/>
        <v>-51000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 customHeight="1" x14ac:dyDescent="0.35">
      <c r="A23" s="1"/>
      <c r="B23" s="1"/>
      <c r="C23" s="1"/>
      <c r="D23" s="1"/>
      <c r="E23" s="1">
        <f t="shared" si="6"/>
        <v>1900</v>
      </c>
      <c r="F23" s="36">
        <f t="shared" si="0"/>
        <v>85500</v>
      </c>
      <c r="G23" s="36">
        <f t="shared" si="1"/>
        <v>34200</v>
      </c>
      <c r="H23" s="36">
        <f t="shared" si="2"/>
        <v>51300</v>
      </c>
      <c r="I23" s="36">
        <f t="shared" si="3"/>
        <v>99600</v>
      </c>
      <c r="J23" s="36">
        <f t="shared" si="4"/>
        <v>133800</v>
      </c>
      <c r="K23" s="1">
        <f t="shared" si="5"/>
        <v>-48300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.25" customHeight="1" x14ac:dyDescent="0.35">
      <c r="A24" s="1"/>
      <c r="B24" s="1"/>
      <c r="C24" s="1"/>
      <c r="D24" s="1"/>
      <c r="E24" s="1">
        <f t="shared" si="6"/>
        <v>2000</v>
      </c>
      <c r="F24" s="36">
        <f t="shared" si="0"/>
        <v>90000</v>
      </c>
      <c r="G24" s="36">
        <f t="shared" si="1"/>
        <v>36000</v>
      </c>
      <c r="H24" s="36">
        <f t="shared" si="2"/>
        <v>54000</v>
      </c>
      <c r="I24" s="36">
        <f t="shared" si="3"/>
        <v>99600</v>
      </c>
      <c r="J24" s="36">
        <f t="shared" si="4"/>
        <v>135600</v>
      </c>
      <c r="K24" s="1">
        <f t="shared" si="5"/>
        <v>-45600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.25" customHeight="1" x14ac:dyDescent="0.35">
      <c r="A25" s="1"/>
      <c r="B25" s="1"/>
      <c r="C25" s="1"/>
      <c r="D25" s="1"/>
      <c r="E25" s="1">
        <f t="shared" si="6"/>
        <v>2100</v>
      </c>
      <c r="F25" s="36">
        <f t="shared" si="0"/>
        <v>94500</v>
      </c>
      <c r="G25" s="36">
        <f t="shared" si="1"/>
        <v>37800</v>
      </c>
      <c r="H25" s="36">
        <f t="shared" si="2"/>
        <v>56700</v>
      </c>
      <c r="I25" s="36">
        <f t="shared" si="3"/>
        <v>99600</v>
      </c>
      <c r="J25" s="36">
        <f t="shared" si="4"/>
        <v>137400</v>
      </c>
      <c r="K25" s="1">
        <f t="shared" si="5"/>
        <v>-42900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.25" customHeight="1" x14ac:dyDescent="0.35">
      <c r="A26" s="1"/>
      <c r="B26" s="1"/>
      <c r="C26" s="1"/>
      <c r="D26" s="1"/>
      <c r="E26" s="1">
        <f t="shared" si="6"/>
        <v>2200</v>
      </c>
      <c r="F26" s="36">
        <f t="shared" si="0"/>
        <v>99000</v>
      </c>
      <c r="G26" s="36">
        <f t="shared" si="1"/>
        <v>39600</v>
      </c>
      <c r="H26" s="36">
        <f t="shared" si="2"/>
        <v>59400</v>
      </c>
      <c r="I26" s="36">
        <f t="shared" si="3"/>
        <v>99600</v>
      </c>
      <c r="J26" s="36">
        <f t="shared" si="4"/>
        <v>139200</v>
      </c>
      <c r="K26" s="1">
        <f t="shared" si="5"/>
        <v>-40200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.25" customHeight="1" x14ac:dyDescent="0.35">
      <c r="A27" s="1"/>
      <c r="B27" s="1"/>
      <c r="C27" s="1"/>
      <c r="D27" s="1"/>
      <c r="E27" s="1">
        <f t="shared" si="6"/>
        <v>2300</v>
      </c>
      <c r="F27" s="36">
        <f t="shared" si="0"/>
        <v>103500</v>
      </c>
      <c r="G27" s="36">
        <f t="shared" si="1"/>
        <v>41400</v>
      </c>
      <c r="H27" s="36">
        <f t="shared" si="2"/>
        <v>62100</v>
      </c>
      <c r="I27" s="36">
        <f t="shared" si="3"/>
        <v>99600</v>
      </c>
      <c r="J27" s="36">
        <f t="shared" si="4"/>
        <v>141000</v>
      </c>
      <c r="K27" s="1">
        <f t="shared" si="5"/>
        <v>-37500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4.25" customHeight="1" x14ac:dyDescent="0.35">
      <c r="A28" s="1"/>
      <c r="B28" s="1"/>
      <c r="C28" s="1"/>
      <c r="D28" s="1"/>
      <c r="E28" s="1">
        <f t="shared" si="6"/>
        <v>2400</v>
      </c>
      <c r="F28" s="36">
        <f t="shared" si="0"/>
        <v>108000</v>
      </c>
      <c r="G28" s="36">
        <f t="shared" si="1"/>
        <v>43200</v>
      </c>
      <c r="H28" s="36">
        <f t="shared" si="2"/>
        <v>64800</v>
      </c>
      <c r="I28" s="36">
        <f t="shared" si="3"/>
        <v>99600</v>
      </c>
      <c r="J28" s="36">
        <f t="shared" si="4"/>
        <v>142800</v>
      </c>
      <c r="K28" s="1">
        <f t="shared" si="5"/>
        <v>-34800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25" customHeight="1" x14ac:dyDescent="0.35">
      <c r="A29" s="1"/>
      <c r="B29" s="1"/>
      <c r="C29" s="1"/>
      <c r="D29" s="1"/>
      <c r="E29" s="1">
        <f t="shared" si="6"/>
        <v>2500</v>
      </c>
      <c r="F29" s="36">
        <f t="shared" si="0"/>
        <v>112500</v>
      </c>
      <c r="G29" s="36">
        <f t="shared" si="1"/>
        <v>45000</v>
      </c>
      <c r="H29" s="36">
        <f t="shared" si="2"/>
        <v>67500</v>
      </c>
      <c r="I29" s="36">
        <f t="shared" si="3"/>
        <v>99600</v>
      </c>
      <c r="J29" s="36">
        <f t="shared" si="4"/>
        <v>144600</v>
      </c>
      <c r="K29" s="1">
        <f t="shared" si="5"/>
        <v>-32100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 x14ac:dyDescent="0.35">
      <c r="A30" s="1"/>
      <c r="B30" s="1"/>
      <c r="C30" s="1"/>
      <c r="D30" s="1"/>
      <c r="E30" s="1">
        <f t="shared" si="6"/>
        <v>2600</v>
      </c>
      <c r="F30" s="36">
        <f t="shared" si="0"/>
        <v>117000</v>
      </c>
      <c r="G30" s="36">
        <f t="shared" si="1"/>
        <v>46800</v>
      </c>
      <c r="H30" s="36">
        <f t="shared" si="2"/>
        <v>70200</v>
      </c>
      <c r="I30" s="36">
        <f t="shared" si="3"/>
        <v>99600</v>
      </c>
      <c r="J30" s="36">
        <f t="shared" si="4"/>
        <v>146400</v>
      </c>
      <c r="K30" s="1">
        <f t="shared" si="5"/>
        <v>-29400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 x14ac:dyDescent="0.35">
      <c r="A31" s="1"/>
      <c r="B31" s="1"/>
      <c r="C31" s="1"/>
      <c r="D31" s="1"/>
      <c r="E31" s="1">
        <f t="shared" si="6"/>
        <v>2700</v>
      </c>
      <c r="F31" s="36">
        <f t="shared" si="0"/>
        <v>121500</v>
      </c>
      <c r="G31" s="36">
        <f t="shared" si="1"/>
        <v>48600</v>
      </c>
      <c r="H31" s="36">
        <f t="shared" si="2"/>
        <v>72900</v>
      </c>
      <c r="I31" s="36">
        <f t="shared" si="3"/>
        <v>99600</v>
      </c>
      <c r="J31" s="36">
        <f t="shared" si="4"/>
        <v>148200</v>
      </c>
      <c r="K31" s="1">
        <f t="shared" si="5"/>
        <v>-26700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.25" customHeight="1" x14ac:dyDescent="0.35">
      <c r="A32" s="1"/>
      <c r="B32" s="1"/>
      <c r="C32" s="1"/>
      <c r="D32" s="1"/>
      <c r="E32" s="1">
        <f t="shared" si="6"/>
        <v>2800</v>
      </c>
      <c r="F32" s="36">
        <f t="shared" si="0"/>
        <v>126000</v>
      </c>
      <c r="G32" s="36">
        <f t="shared" si="1"/>
        <v>50400</v>
      </c>
      <c r="H32" s="36">
        <f t="shared" si="2"/>
        <v>75600</v>
      </c>
      <c r="I32" s="36">
        <f t="shared" si="3"/>
        <v>99600</v>
      </c>
      <c r="J32" s="36">
        <f t="shared" si="4"/>
        <v>150000</v>
      </c>
      <c r="K32" s="1">
        <f t="shared" si="5"/>
        <v>-24000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25" customHeight="1" x14ac:dyDescent="0.35">
      <c r="A33" s="1"/>
      <c r="B33" s="1"/>
      <c r="C33" s="1"/>
      <c r="D33" s="1"/>
      <c r="E33" s="1">
        <f t="shared" si="6"/>
        <v>2900</v>
      </c>
      <c r="F33" s="36">
        <f t="shared" si="0"/>
        <v>130500</v>
      </c>
      <c r="G33" s="36">
        <f t="shared" si="1"/>
        <v>52200</v>
      </c>
      <c r="H33" s="36">
        <f t="shared" si="2"/>
        <v>78300</v>
      </c>
      <c r="I33" s="36">
        <f t="shared" si="3"/>
        <v>99600</v>
      </c>
      <c r="J33" s="36">
        <f t="shared" si="4"/>
        <v>151800</v>
      </c>
      <c r="K33" s="1">
        <f t="shared" si="5"/>
        <v>-21300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25" customHeight="1" x14ac:dyDescent="0.35">
      <c r="A34" s="1"/>
      <c r="B34" s="1"/>
      <c r="C34" s="1"/>
      <c r="D34" s="1"/>
      <c r="E34" s="1">
        <f t="shared" si="6"/>
        <v>3000</v>
      </c>
      <c r="F34" s="36">
        <f t="shared" si="0"/>
        <v>135000</v>
      </c>
      <c r="G34" s="36">
        <f t="shared" si="1"/>
        <v>54000</v>
      </c>
      <c r="H34" s="36">
        <f t="shared" si="2"/>
        <v>81000</v>
      </c>
      <c r="I34" s="36">
        <f t="shared" si="3"/>
        <v>99600</v>
      </c>
      <c r="J34" s="36">
        <f t="shared" si="4"/>
        <v>153600</v>
      </c>
      <c r="K34" s="1">
        <f t="shared" si="5"/>
        <v>-18600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35">
      <c r="A35" s="1"/>
      <c r="B35" s="1"/>
      <c r="C35" s="1"/>
      <c r="D35" s="1"/>
      <c r="E35" s="1">
        <f t="shared" si="6"/>
        <v>3100</v>
      </c>
      <c r="F35" s="36">
        <f t="shared" si="0"/>
        <v>139500</v>
      </c>
      <c r="G35" s="36">
        <f t="shared" si="1"/>
        <v>55800</v>
      </c>
      <c r="H35" s="36">
        <f t="shared" si="2"/>
        <v>83700</v>
      </c>
      <c r="I35" s="36">
        <f t="shared" si="3"/>
        <v>99600</v>
      </c>
      <c r="J35" s="36">
        <f t="shared" si="4"/>
        <v>155400</v>
      </c>
      <c r="K35" s="1">
        <f t="shared" si="5"/>
        <v>-15900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35">
      <c r="A36" s="1"/>
      <c r="B36" s="1"/>
      <c r="C36" s="1"/>
      <c r="D36" s="1"/>
      <c r="E36" s="1">
        <f t="shared" si="6"/>
        <v>3200</v>
      </c>
      <c r="F36" s="36">
        <f t="shared" ref="F36:F54" si="7">E36*$C$6</f>
        <v>144000</v>
      </c>
      <c r="G36" s="36">
        <f t="shared" ref="G36:G54" si="8">E36*$C$7</f>
        <v>57600</v>
      </c>
      <c r="H36" s="36">
        <f t="shared" ref="H36:H54" si="9">F36-G36</f>
        <v>86400</v>
      </c>
      <c r="I36" s="36">
        <f t="shared" ref="I36:I54" si="10">$C$9</f>
        <v>99600</v>
      </c>
      <c r="J36" s="36">
        <f t="shared" ref="J36:J54" si="11">G36+I36</f>
        <v>157200</v>
      </c>
      <c r="K36" s="1">
        <f t="shared" ref="K36:K54" si="12">F36-J36</f>
        <v>-13200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35">
      <c r="A37" s="1"/>
      <c r="B37" s="1"/>
      <c r="C37" s="1"/>
      <c r="D37" s="1"/>
      <c r="E37" s="1">
        <f t="shared" ref="E37:E54" si="13">E36+$C$5</f>
        <v>3300</v>
      </c>
      <c r="F37" s="36">
        <f t="shared" si="7"/>
        <v>148500</v>
      </c>
      <c r="G37" s="36">
        <f t="shared" si="8"/>
        <v>59400</v>
      </c>
      <c r="H37" s="36">
        <f t="shared" si="9"/>
        <v>89100</v>
      </c>
      <c r="I37" s="36">
        <f t="shared" si="10"/>
        <v>99600</v>
      </c>
      <c r="J37" s="36">
        <f t="shared" si="11"/>
        <v>159000</v>
      </c>
      <c r="K37" s="1">
        <f t="shared" si="12"/>
        <v>-10500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25" customHeight="1" x14ac:dyDescent="0.35">
      <c r="A38" s="1"/>
      <c r="B38" s="1"/>
      <c r="C38" s="1"/>
      <c r="D38" s="1"/>
      <c r="E38" s="1">
        <f t="shared" si="13"/>
        <v>3400</v>
      </c>
      <c r="F38" s="36">
        <f t="shared" si="7"/>
        <v>153000</v>
      </c>
      <c r="G38" s="36">
        <f t="shared" si="8"/>
        <v>61200</v>
      </c>
      <c r="H38" s="36">
        <f t="shared" si="9"/>
        <v>91800</v>
      </c>
      <c r="I38" s="36">
        <f t="shared" si="10"/>
        <v>99600</v>
      </c>
      <c r="J38" s="36">
        <f t="shared" si="11"/>
        <v>160800</v>
      </c>
      <c r="K38" s="1">
        <f t="shared" si="12"/>
        <v>-7800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35">
      <c r="A39" s="1"/>
      <c r="B39" s="1"/>
      <c r="C39" s="1"/>
      <c r="D39" s="1"/>
      <c r="E39" s="1">
        <f t="shared" si="13"/>
        <v>3500</v>
      </c>
      <c r="F39" s="36">
        <f t="shared" si="7"/>
        <v>157500</v>
      </c>
      <c r="G39" s="36">
        <f t="shared" si="8"/>
        <v>63000</v>
      </c>
      <c r="H39" s="36">
        <f t="shared" si="9"/>
        <v>94500</v>
      </c>
      <c r="I39" s="36">
        <f t="shared" si="10"/>
        <v>99600</v>
      </c>
      <c r="J39" s="36">
        <f t="shared" si="11"/>
        <v>162600</v>
      </c>
      <c r="K39" s="1">
        <f t="shared" si="12"/>
        <v>-5100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25" customHeight="1" x14ac:dyDescent="0.35">
      <c r="A40" s="1"/>
      <c r="B40" s="1"/>
      <c r="C40" s="1"/>
      <c r="D40" s="1"/>
      <c r="E40" s="1">
        <f t="shared" si="13"/>
        <v>3600</v>
      </c>
      <c r="F40" s="36">
        <f t="shared" si="7"/>
        <v>162000</v>
      </c>
      <c r="G40" s="36">
        <f t="shared" si="8"/>
        <v>64800</v>
      </c>
      <c r="H40" s="36">
        <f t="shared" si="9"/>
        <v>97200</v>
      </c>
      <c r="I40" s="36">
        <f t="shared" si="10"/>
        <v>99600</v>
      </c>
      <c r="J40" s="36">
        <f t="shared" si="11"/>
        <v>164400</v>
      </c>
      <c r="K40" s="1">
        <f t="shared" si="12"/>
        <v>-2400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35">
      <c r="A41" s="1"/>
      <c r="B41" s="1"/>
      <c r="C41" s="1"/>
      <c r="D41" s="1"/>
      <c r="E41" s="1">
        <f t="shared" si="13"/>
        <v>3700</v>
      </c>
      <c r="F41" s="36">
        <f t="shared" si="7"/>
        <v>166500</v>
      </c>
      <c r="G41" s="36">
        <f t="shared" si="8"/>
        <v>66600</v>
      </c>
      <c r="H41" s="36">
        <f t="shared" si="9"/>
        <v>99900</v>
      </c>
      <c r="I41" s="36">
        <f t="shared" si="10"/>
        <v>99600</v>
      </c>
      <c r="J41" s="36">
        <f t="shared" si="11"/>
        <v>166200</v>
      </c>
      <c r="K41" s="1">
        <f t="shared" si="12"/>
        <v>300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.25" customHeight="1" x14ac:dyDescent="0.35">
      <c r="A42" s="1"/>
      <c r="B42" s="1"/>
      <c r="C42" s="1"/>
      <c r="D42" s="1"/>
      <c r="E42" s="1">
        <f t="shared" si="13"/>
        <v>3800</v>
      </c>
      <c r="F42" s="36">
        <f t="shared" si="7"/>
        <v>171000</v>
      </c>
      <c r="G42" s="36">
        <f t="shared" si="8"/>
        <v>68400</v>
      </c>
      <c r="H42" s="36">
        <f t="shared" si="9"/>
        <v>102600</v>
      </c>
      <c r="I42" s="36">
        <f t="shared" si="10"/>
        <v>99600</v>
      </c>
      <c r="J42" s="36">
        <f t="shared" si="11"/>
        <v>168000</v>
      </c>
      <c r="K42" s="1">
        <f t="shared" si="12"/>
        <v>3000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35">
      <c r="A43" s="1"/>
      <c r="B43" s="1"/>
      <c r="C43" s="1"/>
      <c r="D43" s="1"/>
      <c r="E43" s="1">
        <f t="shared" si="13"/>
        <v>3900</v>
      </c>
      <c r="F43" s="36">
        <f t="shared" si="7"/>
        <v>175500</v>
      </c>
      <c r="G43" s="36">
        <f t="shared" si="8"/>
        <v>70200</v>
      </c>
      <c r="H43" s="36">
        <f t="shared" si="9"/>
        <v>105300</v>
      </c>
      <c r="I43" s="36">
        <f t="shared" si="10"/>
        <v>99600</v>
      </c>
      <c r="J43" s="36">
        <f t="shared" si="11"/>
        <v>169800</v>
      </c>
      <c r="K43" s="1">
        <f t="shared" si="12"/>
        <v>5700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4.25" customHeight="1" x14ac:dyDescent="0.35">
      <c r="A44" s="1"/>
      <c r="B44" s="1"/>
      <c r="C44" s="1"/>
      <c r="D44" s="1"/>
      <c r="E44" s="1">
        <f t="shared" si="13"/>
        <v>4000</v>
      </c>
      <c r="F44" s="36">
        <f t="shared" si="7"/>
        <v>180000</v>
      </c>
      <c r="G44" s="36">
        <f t="shared" si="8"/>
        <v>72000</v>
      </c>
      <c r="H44" s="36">
        <f t="shared" si="9"/>
        <v>108000</v>
      </c>
      <c r="I44" s="36">
        <f t="shared" si="10"/>
        <v>99600</v>
      </c>
      <c r="J44" s="36">
        <f t="shared" si="11"/>
        <v>171600</v>
      </c>
      <c r="K44" s="1">
        <f t="shared" si="12"/>
        <v>8400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 x14ac:dyDescent="0.35">
      <c r="A45" s="1"/>
      <c r="B45" s="1"/>
      <c r="C45" s="1"/>
      <c r="D45" s="1"/>
      <c r="E45" s="1">
        <f t="shared" si="13"/>
        <v>4100</v>
      </c>
      <c r="F45" s="36">
        <f t="shared" si="7"/>
        <v>184500</v>
      </c>
      <c r="G45" s="36">
        <f t="shared" si="8"/>
        <v>73800</v>
      </c>
      <c r="H45" s="36">
        <f t="shared" si="9"/>
        <v>110700</v>
      </c>
      <c r="I45" s="36">
        <f t="shared" si="10"/>
        <v>99600</v>
      </c>
      <c r="J45" s="36">
        <f t="shared" si="11"/>
        <v>173400</v>
      </c>
      <c r="K45" s="1">
        <f t="shared" si="12"/>
        <v>11100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35">
      <c r="A46" s="1"/>
      <c r="B46" s="1"/>
      <c r="C46" s="1"/>
      <c r="D46" s="1"/>
      <c r="E46" s="1">
        <f t="shared" si="13"/>
        <v>4200</v>
      </c>
      <c r="F46" s="36">
        <f t="shared" si="7"/>
        <v>189000</v>
      </c>
      <c r="G46" s="36">
        <f t="shared" si="8"/>
        <v>75600</v>
      </c>
      <c r="H46" s="36">
        <f t="shared" si="9"/>
        <v>113400</v>
      </c>
      <c r="I46" s="36">
        <f t="shared" si="10"/>
        <v>99600</v>
      </c>
      <c r="J46" s="36">
        <f t="shared" si="11"/>
        <v>175200</v>
      </c>
      <c r="K46" s="1">
        <f t="shared" si="12"/>
        <v>13800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35">
      <c r="A47" s="1"/>
      <c r="B47" s="1"/>
      <c r="C47" s="1"/>
      <c r="D47" s="1"/>
      <c r="E47" s="1">
        <f t="shared" si="13"/>
        <v>4300</v>
      </c>
      <c r="F47" s="36">
        <f t="shared" si="7"/>
        <v>193500</v>
      </c>
      <c r="G47" s="36">
        <f t="shared" si="8"/>
        <v>77400</v>
      </c>
      <c r="H47" s="36">
        <f t="shared" si="9"/>
        <v>116100</v>
      </c>
      <c r="I47" s="36">
        <f t="shared" si="10"/>
        <v>99600</v>
      </c>
      <c r="J47" s="36">
        <f t="shared" si="11"/>
        <v>177000</v>
      </c>
      <c r="K47" s="1">
        <f t="shared" si="12"/>
        <v>16500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35">
      <c r="A48" s="1"/>
      <c r="B48" s="1"/>
      <c r="C48" s="1"/>
      <c r="D48" s="1"/>
      <c r="E48" s="1">
        <f t="shared" si="13"/>
        <v>4400</v>
      </c>
      <c r="F48" s="36">
        <f t="shared" si="7"/>
        <v>198000</v>
      </c>
      <c r="G48" s="36">
        <f t="shared" si="8"/>
        <v>79200</v>
      </c>
      <c r="H48" s="36">
        <f t="shared" si="9"/>
        <v>118800</v>
      </c>
      <c r="I48" s="36">
        <f t="shared" si="10"/>
        <v>99600</v>
      </c>
      <c r="J48" s="36">
        <f t="shared" si="11"/>
        <v>178800</v>
      </c>
      <c r="K48" s="1">
        <f t="shared" si="12"/>
        <v>19200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25" customHeight="1" x14ac:dyDescent="0.35">
      <c r="A49" s="1"/>
      <c r="B49" s="1"/>
      <c r="C49" s="1"/>
      <c r="D49" s="1"/>
      <c r="E49" s="1">
        <f t="shared" si="13"/>
        <v>4500</v>
      </c>
      <c r="F49" s="36">
        <f t="shared" si="7"/>
        <v>202500</v>
      </c>
      <c r="G49" s="36">
        <f t="shared" si="8"/>
        <v>81000</v>
      </c>
      <c r="H49" s="36">
        <f t="shared" si="9"/>
        <v>121500</v>
      </c>
      <c r="I49" s="36">
        <f t="shared" si="10"/>
        <v>99600</v>
      </c>
      <c r="J49" s="36">
        <f t="shared" si="11"/>
        <v>180600</v>
      </c>
      <c r="K49" s="1">
        <f t="shared" si="12"/>
        <v>21900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35">
      <c r="A50" s="1"/>
      <c r="B50" s="1"/>
      <c r="C50" s="1"/>
      <c r="D50" s="1"/>
      <c r="E50" s="1">
        <f t="shared" si="13"/>
        <v>4600</v>
      </c>
      <c r="F50" s="36">
        <f t="shared" si="7"/>
        <v>207000</v>
      </c>
      <c r="G50" s="36">
        <f t="shared" si="8"/>
        <v>82800</v>
      </c>
      <c r="H50" s="36">
        <f t="shared" si="9"/>
        <v>124200</v>
      </c>
      <c r="I50" s="36">
        <f t="shared" si="10"/>
        <v>99600</v>
      </c>
      <c r="J50" s="36">
        <f t="shared" si="11"/>
        <v>182400</v>
      </c>
      <c r="K50" s="1">
        <f t="shared" si="12"/>
        <v>24600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 x14ac:dyDescent="0.35">
      <c r="A51" s="1"/>
      <c r="B51" s="1"/>
      <c r="C51" s="1"/>
      <c r="D51" s="1"/>
      <c r="E51" s="1">
        <f t="shared" si="13"/>
        <v>4700</v>
      </c>
      <c r="F51" s="36">
        <f t="shared" si="7"/>
        <v>211500</v>
      </c>
      <c r="G51" s="36">
        <f t="shared" si="8"/>
        <v>84600</v>
      </c>
      <c r="H51" s="36">
        <f t="shared" si="9"/>
        <v>126900</v>
      </c>
      <c r="I51" s="36">
        <f t="shared" si="10"/>
        <v>99600</v>
      </c>
      <c r="J51" s="36">
        <f t="shared" si="11"/>
        <v>184200</v>
      </c>
      <c r="K51" s="1">
        <f t="shared" si="12"/>
        <v>27300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35">
      <c r="A52" s="1"/>
      <c r="B52" s="1"/>
      <c r="C52" s="1"/>
      <c r="D52" s="1"/>
      <c r="E52" s="1">
        <f t="shared" si="13"/>
        <v>4800</v>
      </c>
      <c r="F52" s="36">
        <f t="shared" si="7"/>
        <v>216000</v>
      </c>
      <c r="G52" s="36">
        <f t="shared" si="8"/>
        <v>86400</v>
      </c>
      <c r="H52" s="36">
        <f t="shared" si="9"/>
        <v>129600</v>
      </c>
      <c r="I52" s="36">
        <f t="shared" si="10"/>
        <v>99600</v>
      </c>
      <c r="J52" s="36">
        <f t="shared" si="11"/>
        <v>186000</v>
      </c>
      <c r="K52" s="1">
        <f t="shared" si="12"/>
        <v>30000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35">
      <c r="A53" s="1"/>
      <c r="B53" s="1"/>
      <c r="C53" s="1"/>
      <c r="D53" s="1"/>
      <c r="E53" s="1">
        <f t="shared" si="13"/>
        <v>4900</v>
      </c>
      <c r="F53" s="36">
        <f t="shared" si="7"/>
        <v>220500</v>
      </c>
      <c r="G53" s="36">
        <f t="shared" si="8"/>
        <v>88200</v>
      </c>
      <c r="H53" s="36">
        <f t="shared" si="9"/>
        <v>132300</v>
      </c>
      <c r="I53" s="36">
        <f t="shared" si="10"/>
        <v>99600</v>
      </c>
      <c r="J53" s="36">
        <f t="shared" si="11"/>
        <v>187800</v>
      </c>
      <c r="K53" s="1">
        <f t="shared" si="12"/>
        <v>32700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35">
      <c r="A54" s="1"/>
      <c r="B54" s="1"/>
      <c r="C54" s="1"/>
      <c r="D54" s="1"/>
      <c r="E54" s="1">
        <f t="shared" si="13"/>
        <v>5000</v>
      </c>
      <c r="F54" s="36">
        <f t="shared" si="7"/>
        <v>225000</v>
      </c>
      <c r="G54" s="36">
        <f t="shared" si="8"/>
        <v>90000</v>
      </c>
      <c r="H54" s="36">
        <f t="shared" si="9"/>
        <v>135000</v>
      </c>
      <c r="I54" s="36">
        <f t="shared" si="10"/>
        <v>99600</v>
      </c>
      <c r="J54" s="36">
        <f t="shared" si="11"/>
        <v>189600</v>
      </c>
      <c r="K54" s="1">
        <f t="shared" si="12"/>
        <v>35400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64A2"/>
  </sheetPr>
  <dimension ref="A1:E17"/>
  <sheetViews>
    <sheetView tabSelected="1" zoomScaleNormal="100" workbookViewId="0">
      <pane ySplit="3" topLeftCell="A4" activePane="bottomLeft" state="frozen"/>
      <selection pane="bottomLeft" activeCell="C22" sqref="C22"/>
    </sheetView>
  </sheetViews>
  <sheetFormatPr defaultColWidth="8.6328125" defaultRowHeight="14.25" customHeight="1" x14ac:dyDescent="0.35"/>
  <cols>
    <col min="1" max="4" width="42" customWidth="1"/>
    <col min="5" max="5" width="33" customWidth="1"/>
  </cols>
  <sheetData>
    <row r="1" spans="1:5" ht="18" customHeight="1" x14ac:dyDescent="0.35">
      <c r="A1" s="64" t="s">
        <v>206</v>
      </c>
      <c r="B1" s="64"/>
      <c r="C1" s="64"/>
      <c r="D1" s="64"/>
      <c r="E1" s="64"/>
    </row>
    <row r="2" spans="1:5" ht="14.25" customHeight="1" x14ac:dyDescent="0.35">
      <c r="A2" s="1"/>
      <c r="B2" s="1"/>
      <c r="C2" s="1"/>
      <c r="D2" s="1"/>
      <c r="E2" s="1"/>
    </row>
    <row r="3" spans="1:5" ht="14.25" customHeight="1" x14ac:dyDescent="0.35">
      <c r="A3" s="6" t="s">
        <v>207</v>
      </c>
      <c r="B3" s="6" t="s">
        <v>208</v>
      </c>
      <c r="C3" s="6" t="s">
        <v>209</v>
      </c>
      <c r="D3" s="6" t="s">
        <v>210</v>
      </c>
      <c r="E3" s="6" t="s">
        <v>211</v>
      </c>
    </row>
    <row r="4" spans="1:5" ht="14.25" customHeight="1" x14ac:dyDescent="0.35">
      <c r="A4" s="7" t="s">
        <v>155</v>
      </c>
      <c r="B4" s="24">
        <f>'P&amp;L_3yr'!B4</f>
        <v>162000</v>
      </c>
      <c r="C4" s="24">
        <f>'P&amp;L_3yr'!C4</f>
        <v>202500</v>
      </c>
      <c r="D4" s="24">
        <f>'P&amp;L_3yr'!D4</f>
        <v>253125</v>
      </c>
      <c r="E4" s="7" t="s">
        <v>212</v>
      </c>
    </row>
    <row r="5" spans="1:5" ht="14.25" customHeight="1" x14ac:dyDescent="0.35">
      <c r="A5" s="7" t="s">
        <v>156</v>
      </c>
      <c r="B5" s="24">
        <f>'P&amp;L_3yr'!B5</f>
        <v>64800</v>
      </c>
      <c r="C5" s="24">
        <f>'P&amp;L_3yr'!C5</f>
        <v>81000</v>
      </c>
      <c r="D5" s="24">
        <f>'P&amp;L_3yr'!D5</f>
        <v>101250</v>
      </c>
      <c r="E5" s="7" t="s">
        <v>213</v>
      </c>
    </row>
    <row r="6" spans="1:5" ht="14.25" customHeight="1" x14ac:dyDescent="0.35">
      <c r="A6" s="7" t="s">
        <v>178</v>
      </c>
      <c r="B6" s="24">
        <f>'P&amp;L_3yr'!B6</f>
        <v>97200</v>
      </c>
      <c r="C6" s="24">
        <f>'P&amp;L_3yr'!C6</f>
        <v>121500</v>
      </c>
      <c r="D6" s="24">
        <f>'P&amp;L_3yr'!D6</f>
        <v>151875</v>
      </c>
      <c r="E6" s="7" t="s">
        <v>214</v>
      </c>
    </row>
    <row r="7" spans="1:5" ht="14.25" customHeight="1" x14ac:dyDescent="0.35">
      <c r="A7" s="7" t="s">
        <v>157</v>
      </c>
      <c r="B7" s="24">
        <f>'P&amp;L_3yr'!B7</f>
        <v>99600</v>
      </c>
      <c r="C7" s="24">
        <f>'P&amp;L_3yr'!C7</f>
        <v>104580</v>
      </c>
      <c r="D7" s="24">
        <f>'P&amp;L_3yr'!D7</f>
        <v>109809</v>
      </c>
      <c r="E7" s="7" t="s">
        <v>215</v>
      </c>
    </row>
    <row r="8" spans="1:5" ht="14.25" customHeight="1" x14ac:dyDescent="0.35">
      <c r="A8" s="7" t="s">
        <v>216</v>
      </c>
      <c r="B8" s="24">
        <f>'P&amp;L_3yr'!B9</f>
        <v>0</v>
      </c>
      <c r="C8" s="24">
        <f>'P&amp;L_3yr'!C9</f>
        <v>0</v>
      </c>
      <c r="D8" s="24">
        <f>'P&amp;L_3yr'!D9</f>
        <v>0</v>
      </c>
      <c r="E8" s="7" t="s">
        <v>217</v>
      </c>
    </row>
    <row r="9" spans="1:5" ht="14.25" customHeight="1" x14ac:dyDescent="0.35">
      <c r="A9" s="7" t="s">
        <v>183</v>
      </c>
      <c r="B9" s="24">
        <f>'P&amp;L_3yr'!B12</f>
        <v>-2400</v>
      </c>
      <c r="C9" s="24">
        <f>'P&amp;L_3yr'!C12</f>
        <v>13705.2</v>
      </c>
      <c r="D9" s="24">
        <f>'P&amp;L_3yr'!D12</f>
        <v>34073.46</v>
      </c>
      <c r="E9" s="7" t="s">
        <v>218</v>
      </c>
    </row>
    <row r="10" spans="1:5" ht="14.25" customHeight="1" x14ac:dyDescent="0.35">
      <c r="A10" s="7" t="s">
        <v>219</v>
      </c>
      <c r="B10" s="30">
        <f>'P&amp;L_3yr'!B6/'P&amp;L_3yr'!B4</f>
        <v>0.6</v>
      </c>
      <c r="C10" s="30">
        <f>'P&amp;L_3yr'!C6/'P&amp;L_3yr'!C4</f>
        <v>0.6</v>
      </c>
      <c r="D10" s="30">
        <f>'P&amp;L_3yr'!D6/'P&amp;L_3yr'!D4</f>
        <v>0.6</v>
      </c>
      <c r="E10" s="7" t="s">
        <v>220</v>
      </c>
    </row>
    <row r="11" spans="1:5" ht="14.25" customHeight="1" x14ac:dyDescent="0.35">
      <c r="A11" s="7" t="s">
        <v>221</v>
      </c>
      <c r="B11" s="30">
        <f>'P&amp;L_3yr'!B12/'P&amp;L_3yr'!B4</f>
        <v>-1.4814814814814815E-2</v>
      </c>
      <c r="C11" s="30">
        <f>'P&amp;L_3yr'!C12/'P&amp;L_3yr'!C4</f>
        <v>6.7680000000000004E-2</v>
      </c>
      <c r="D11" s="30">
        <f>'P&amp;L_3yr'!D12/'P&amp;L_3yr'!D4</f>
        <v>0.13461119999999999</v>
      </c>
      <c r="E11" s="7" t="s">
        <v>222</v>
      </c>
    </row>
    <row r="12" spans="1:5" ht="14.25" customHeight="1" x14ac:dyDescent="0.35">
      <c r="A12" s="7" t="s">
        <v>223</v>
      </c>
      <c r="B12" s="24">
        <f>IFERROR(Assumptions!B49/Assumptions!B48,0)</f>
        <v>40</v>
      </c>
      <c r="C12" s="24">
        <f>IFERROR(Assumptions!B49/Assumptions!B48,0)</f>
        <v>40</v>
      </c>
      <c r="D12" s="24">
        <f>IFERROR(Assumptions!B49/Assumptions!B48,0)</f>
        <v>40</v>
      </c>
      <c r="E12" s="7" t="s">
        <v>224</v>
      </c>
    </row>
    <row r="13" spans="1:5" ht="14.25" customHeight="1" x14ac:dyDescent="0.35">
      <c r="A13" s="7" t="s">
        <v>225</v>
      </c>
      <c r="B13" s="24">
        <f>((Assumptions!B46*Assumptions!B45)-Assumptions!B47)</f>
        <v>162</v>
      </c>
      <c r="C13" s="24">
        <f>((Assumptions!B46*Assumptions!B45)-Assumptions!B47)</f>
        <v>162</v>
      </c>
      <c r="D13" s="24">
        <f>((Assumptions!B46*Assumptions!B45)-Assumptions!B47)</f>
        <v>162</v>
      </c>
      <c r="E13" s="7" t="s">
        <v>226</v>
      </c>
    </row>
    <row r="14" spans="1:5" ht="14.25" customHeight="1" x14ac:dyDescent="0.35">
      <c r="A14" s="7" t="s">
        <v>227</v>
      </c>
      <c r="B14" s="45">
        <f>IFERROR(B13/B12,0)</f>
        <v>4.05</v>
      </c>
      <c r="C14" s="45">
        <f>IFERROR(C13/C12,0)</f>
        <v>4.05</v>
      </c>
      <c r="D14" s="45">
        <f>IFERROR(D13/D12,0)</f>
        <v>4.05</v>
      </c>
      <c r="E14" s="7" t="s">
        <v>228</v>
      </c>
    </row>
    <row r="15" spans="1:5" ht="14.25" customHeight="1" x14ac:dyDescent="0.35">
      <c r="A15" s="1"/>
      <c r="B15" s="1"/>
      <c r="C15" s="1"/>
      <c r="D15" s="1"/>
      <c r="E15" s="1"/>
    </row>
    <row r="16" spans="1:5" ht="14.25" customHeight="1" x14ac:dyDescent="0.35">
      <c r="A16" s="7" t="s">
        <v>202</v>
      </c>
      <c r="B16" s="46">
        <f>'Break-Even'!C11</f>
        <v>3688.8888888888887</v>
      </c>
      <c r="C16" s="1"/>
      <c r="D16" s="1"/>
      <c r="E16" s="1"/>
    </row>
    <row r="17" spans="1:5" ht="14.25" customHeight="1" x14ac:dyDescent="0.35">
      <c r="A17" s="7" t="s">
        <v>203</v>
      </c>
      <c r="B17" s="40">
        <f>'Break-Even'!C12</f>
        <v>166000</v>
      </c>
      <c r="C17" s="1"/>
      <c r="D17" s="1"/>
      <c r="E17" s="1"/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03864"/>
  </sheetPr>
  <dimension ref="A1:L40"/>
  <sheetViews>
    <sheetView zoomScale="35" zoomScaleNormal="32" workbookViewId="0">
      <pane ySplit="3" topLeftCell="A4" activePane="bottomLeft" state="frozen"/>
      <selection pane="bottomLeft" activeCell="Z25" sqref="Z25"/>
    </sheetView>
  </sheetViews>
  <sheetFormatPr defaultColWidth="8.6328125" defaultRowHeight="14.25" customHeight="1" x14ac:dyDescent="0.35"/>
  <cols>
    <col min="1" max="1" width="22" customWidth="1"/>
    <col min="2" max="5" width="15" customWidth="1"/>
    <col min="6" max="6" width="30" customWidth="1"/>
    <col min="7" max="7" width="18" customWidth="1"/>
    <col min="8" max="12" width="12" customWidth="1"/>
  </cols>
  <sheetData>
    <row r="1" spans="1:12" ht="19.5" customHeight="1" x14ac:dyDescent="0.35">
      <c r="A1" s="4" t="s">
        <v>229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4.2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30" customHeight="1" x14ac:dyDescent="0.35">
      <c r="A3" s="47" t="s">
        <v>230</v>
      </c>
      <c r="B3" s="47"/>
      <c r="C3" s="47"/>
      <c r="D3" s="47"/>
      <c r="E3" s="47"/>
      <c r="F3" s="47" t="s">
        <v>231</v>
      </c>
      <c r="G3" s="47"/>
      <c r="H3" s="1"/>
      <c r="I3" s="1"/>
      <c r="J3" s="1"/>
      <c r="K3" s="1"/>
      <c r="L3" s="1"/>
    </row>
    <row r="4" spans="1:12" ht="14.25" customHeight="1" x14ac:dyDescent="0.35">
      <c r="A4" s="48" t="s">
        <v>207</v>
      </c>
      <c r="B4" s="48" t="s">
        <v>208</v>
      </c>
      <c r="C4" s="48" t="s">
        <v>209</v>
      </c>
      <c r="D4" s="48" t="s">
        <v>210</v>
      </c>
      <c r="E4" s="1"/>
      <c r="F4" s="48" t="s">
        <v>170</v>
      </c>
      <c r="G4" s="49">
        <f>'Funding Mix'!B9</f>
        <v>90000</v>
      </c>
      <c r="H4" s="1"/>
      <c r="I4" s="1"/>
      <c r="J4" s="1"/>
      <c r="K4" s="1"/>
      <c r="L4" s="1"/>
    </row>
    <row r="5" spans="1:12" ht="14.25" customHeight="1" x14ac:dyDescent="0.35">
      <c r="A5" s="50" t="s">
        <v>155</v>
      </c>
      <c r="B5" s="28">
        <f>'P&amp;L_3yr'!B4</f>
        <v>162000</v>
      </c>
      <c r="C5" s="28">
        <f>'P&amp;L_3yr'!C4</f>
        <v>202500</v>
      </c>
      <c r="D5" s="28">
        <f>'P&amp;L_3yr'!D4</f>
        <v>253125</v>
      </c>
      <c r="E5" s="1"/>
      <c r="F5" s="1" t="s">
        <v>232</v>
      </c>
      <c r="G5" s="36">
        <f>'Startup Costs &amp; Use of Funds'!B15</f>
        <v>90000</v>
      </c>
      <c r="H5" s="1"/>
      <c r="I5" s="1"/>
      <c r="J5" s="1"/>
      <c r="K5" s="1"/>
      <c r="L5" s="1"/>
    </row>
    <row r="6" spans="1:12" ht="28.5" customHeight="1" x14ac:dyDescent="0.35">
      <c r="A6" s="50" t="s">
        <v>178</v>
      </c>
      <c r="B6" s="28">
        <f>'P&amp;L_3yr'!B6</f>
        <v>97200</v>
      </c>
      <c r="C6" s="28">
        <f>'P&amp;L_3yr'!C6</f>
        <v>121500</v>
      </c>
      <c r="D6" s="28">
        <f>'P&amp;L_3yr'!D6</f>
        <v>151875</v>
      </c>
      <c r="E6" s="1"/>
      <c r="F6" s="1" t="s">
        <v>233</v>
      </c>
      <c r="G6" s="36">
        <f>'Startup Costs &amp; Use of Funds'!B9</f>
        <v>20000</v>
      </c>
      <c r="H6" s="1"/>
      <c r="I6" s="1"/>
      <c r="J6" s="1"/>
      <c r="K6" s="1"/>
      <c r="L6" s="1"/>
    </row>
    <row r="7" spans="1:12" ht="14.25" customHeight="1" x14ac:dyDescent="0.35">
      <c r="A7" s="50" t="s">
        <v>179</v>
      </c>
      <c r="B7" s="28">
        <f>'P&amp;L_3yr'!B8</f>
        <v>-2400</v>
      </c>
      <c r="C7" s="28">
        <f>'P&amp;L_3yr'!C8</f>
        <v>16920</v>
      </c>
      <c r="D7" s="28">
        <f>'P&amp;L_3yr'!D8</f>
        <v>42066</v>
      </c>
      <c r="E7" s="1"/>
      <c r="F7" s="1" t="s">
        <v>234</v>
      </c>
      <c r="G7" s="35">
        <f>'Break-Even'!C11</f>
        <v>3688.8888888888887</v>
      </c>
      <c r="H7" s="1"/>
      <c r="I7" s="1"/>
      <c r="J7" s="1"/>
      <c r="K7" s="1"/>
      <c r="L7" s="1"/>
    </row>
    <row r="8" spans="1:12" ht="14.25" customHeight="1" x14ac:dyDescent="0.35">
      <c r="A8" s="50" t="s">
        <v>183</v>
      </c>
      <c r="B8" s="28">
        <f>'P&amp;L_3yr'!B12</f>
        <v>-2400</v>
      </c>
      <c r="C8" s="28">
        <f>'P&amp;L_3yr'!C12</f>
        <v>13705.2</v>
      </c>
      <c r="D8" s="28">
        <f>'P&amp;L_3yr'!D12</f>
        <v>34073.46</v>
      </c>
      <c r="E8" s="1"/>
      <c r="F8" s="1" t="s">
        <v>235</v>
      </c>
      <c r="G8" s="36">
        <f>'Break-Even'!C12</f>
        <v>166000</v>
      </c>
      <c r="H8" s="1"/>
      <c r="I8" s="1"/>
      <c r="J8" s="1"/>
      <c r="K8" s="1"/>
      <c r="L8" s="1"/>
    </row>
    <row r="9" spans="1:12" ht="14.25" customHeight="1" x14ac:dyDescent="0.35">
      <c r="A9" s="50" t="s">
        <v>219</v>
      </c>
      <c r="B9" s="51">
        <f>KPIs_ByYear!B10</f>
        <v>0.6</v>
      </c>
      <c r="C9" s="51">
        <f>KPIs_ByYear!C10</f>
        <v>0.6</v>
      </c>
      <c r="D9" s="51">
        <f>KPIs_ByYear!D10</f>
        <v>0.6</v>
      </c>
      <c r="E9" s="1"/>
      <c r="F9" s="1" t="s">
        <v>227</v>
      </c>
      <c r="G9" s="52">
        <f>KPIs_ByYear!B14</f>
        <v>4.05</v>
      </c>
      <c r="H9" s="1"/>
      <c r="I9" s="1"/>
      <c r="J9" s="1"/>
      <c r="K9" s="1"/>
      <c r="L9" s="1"/>
    </row>
    <row r="10" spans="1:12" ht="14.25" customHeight="1" x14ac:dyDescent="0.35">
      <c r="A10" s="50" t="s">
        <v>221</v>
      </c>
      <c r="B10" s="51">
        <f>KPIs_ByYear!B11</f>
        <v>-1.4814814814814815E-2</v>
      </c>
      <c r="C10" s="51">
        <f>KPIs_ByYear!C11</f>
        <v>6.7680000000000004E-2</v>
      </c>
      <c r="D10" s="51">
        <f>KPIs_ByYear!D11</f>
        <v>0.13461119999999999</v>
      </c>
      <c r="E10" s="1"/>
      <c r="F10" s="1" t="s">
        <v>236</v>
      </c>
      <c r="G10" s="1" t="str">
        <f>'Funding Mix'!D11</f>
        <v>Balanced</v>
      </c>
      <c r="H10" s="1"/>
      <c r="I10" s="1"/>
      <c r="J10" s="1"/>
      <c r="K10" s="1"/>
      <c r="L10" s="1"/>
    </row>
    <row r="11" spans="1:12" ht="14.25" customHeight="1" x14ac:dyDescent="0.35">
      <c r="A11" s="50" t="s">
        <v>162</v>
      </c>
      <c r="B11" s="28">
        <f>CashFlow_36m!N14</f>
        <v>6318.9084338848916</v>
      </c>
      <c r="C11" s="28">
        <f>CashFlow_36m!Z14</f>
        <v>8743.0168677697839</v>
      </c>
      <c r="D11" s="28">
        <f>CashFlow_36m!AL14</f>
        <v>31535.385301654675</v>
      </c>
      <c r="E11" s="1"/>
      <c r="F11" s="1"/>
      <c r="G11" s="1"/>
      <c r="H11" s="1"/>
      <c r="I11" s="1"/>
      <c r="J11" s="1"/>
      <c r="K11" s="1"/>
      <c r="L11" s="1"/>
    </row>
    <row r="12" spans="1:12" ht="14.2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4.25" customHeight="1" x14ac:dyDescent="0.35">
      <c r="A13" s="1"/>
      <c r="B13" s="1"/>
      <c r="C13" s="1"/>
      <c r="D13" s="1"/>
      <c r="E13" s="1"/>
      <c r="F13" s="1" t="s">
        <v>237</v>
      </c>
      <c r="G13" s="1"/>
      <c r="H13" s="1"/>
      <c r="I13" s="1"/>
      <c r="J13" s="1"/>
      <c r="K13" s="1"/>
      <c r="L13" s="1"/>
    </row>
    <row r="14" spans="1:12" ht="14.25" customHeight="1" x14ac:dyDescent="0.35">
      <c r="A14" s="1" t="s">
        <v>238</v>
      </c>
      <c r="B14" s="1"/>
      <c r="C14" s="1"/>
      <c r="D14" s="1"/>
      <c r="E14" s="1"/>
      <c r="F14" s="1" t="s">
        <v>239</v>
      </c>
      <c r="G14" s="1" t="str">
        <f>IF(G4=G5,"PASS","CHECK")</f>
        <v>PASS</v>
      </c>
      <c r="H14" s="1"/>
      <c r="I14" s="1"/>
      <c r="J14" s="1"/>
      <c r="K14" s="1"/>
      <c r="L14" s="1"/>
    </row>
    <row r="15" spans="1:12" ht="43.5" customHeight="1" x14ac:dyDescent="0.35">
      <c r="A15" s="1"/>
      <c r="B15" s="1"/>
      <c r="C15" s="1"/>
      <c r="D15" s="1"/>
      <c r="E15" s="1"/>
      <c r="F15" s="1" t="s">
        <v>240</v>
      </c>
      <c r="G15" s="1" t="str">
        <f>IF(AND(ABS(C5/B5-1-Assumptions!B13)&lt;0.0001,ABS(D5/C5-1-Assumptions!B14)&lt;0.0001),"PASS","CHECK")</f>
        <v>PASS</v>
      </c>
      <c r="H15" s="1"/>
      <c r="I15" s="1"/>
      <c r="J15" s="1"/>
      <c r="K15" s="1"/>
      <c r="L15" s="1"/>
    </row>
    <row r="16" spans="1:12" ht="28.5" customHeight="1" x14ac:dyDescent="0.35">
      <c r="A16" s="1"/>
      <c r="B16" s="1"/>
      <c r="C16" s="1"/>
      <c r="D16" s="1"/>
      <c r="E16" s="1"/>
      <c r="F16" s="1" t="s">
        <v>241</v>
      </c>
      <c r="G16" s="1" t="str">
        <f>IF(MIN(B11:D11)&gt;=0,"PASS","CHECK")</f>
        <v>PASS</v>
      </c>
      <c r="H16" s="1"/>
      <c r="I16" s="1"/>
      <c r="J16" s="1"/>
      <c r="K16" s="1"/>
      <c r="L16" s="1"/>
    </row>
    <row r="17" spans="1:12" ht="28.5" customHeight="1" x14ac:dyDescent="0.35">
      <c r="A17" s="1"/>
      <c r="B17" s="1"/>
      <c r="C17" s="1"/>
      <c r="D17" s="1"/>
      <c r="E17" s="1"/>
      <c r="F17" s="1" t="s">
        <v>242</v>
      </c>
      <c r="G17" s="1" t="str">
        <f>IF('Scenario Analysis'!E14&lt;0,"WARNING – downside funding needed","PASS")</f>
        <v>WARNING – downside funding needed</v>
      </c>
      <c r="H17" s="1"/>
      <c r="I17" s="1"/>
      <c r="J17" s="1"/>
      <c r="K17" s="1"/>
      <c r="L17" s="1"/>
    </row>
    <row r="18" spans="1:12" ht="72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57.7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4.2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5" customHeight="1" x14ac:dyDescent="0.35">
      <c r="A21" s="5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4.25" customHeight="1" x14ac:dyDescent="0.35">
      <c r="A22" s="2"/>
      <c r="B22" s="2"/>
      <c r="C22" s="2"/>
      <c r="D22" s="2"/>
      <c r="E22" s="2"/>
      <c r="F22" s="2"/>
      <c r="G22" s="2"/>
      <c r="H22" s="1"/>
      <c r="I22" s="1"/>
      <c r="J22" s="1"/>
      <c r="K22" s="1"/>
      <c r="L22" s="1"/>
    </row>
    <row r="23" spans="1:12" ht="28.5" customHeight="1" x14ac:dyDescent="0.35">
      <c r="A23" s="54"/>
      <c r="B23" s="55"/>
      <c r="C23" s="55"/>
      <c r="D23" s="56"/>
      <c r="E23" s="56"/>
      <c r="F23" s="54"/>
      <c r="G23" s="54"/>
      <c r="H23" s="1"/>
      <c r="I23" s="1"/>
      <c r="J23" s="1"/>
      <c r="K23" s="1"/>
      <c r="L23" s="1"/>
    </row>
    <row r="24" spans="1:12" ht="28.5" customHeight="1" x14ac:dyDescent="0.35">
      <c r="A24" s="54"/>
      <c r="B24" s="55"/>
      <c r="C24" s="55"/>
      <c r="D24" s="56"/>
      <c r="E24" s="56"/>
      <c r="F24" s="54"/>
      <c r="G24" s="54"/>
      <c r="H24" s="1"/>
      <c r="I24" s="1"/>
      <c r="J24" s="1"/>
      <c r="K24" s="1"/>
      <c r="L24" s="1"/>
    </row>
    <row r="25" spans="1:12" ht="28.5" customHeight="1" x14ac:dyDescent="0.35">
      <c r="A25" s="54"/>
      <c r="B25" s="55"/>
      <c r="C25" s="55"/>
      <c r="D25" s="56"/>
      <c r="E25" s="56"/>
      <c r="F25" s="54"/>
      <c r="G25" s="54"/>
      <c r="H25" s="1"/>
      <c r="I25" s="1"/>
      <c r="J25" s="1"/>
      <c r="K25" s="1"/>
      <c r="L25" s="1"/>
    </row>
    <row r="26" spans="1:12" ht="14.2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4.2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4.25" customHeight="1" x14ac:dyDescent="0.35">
      <c r="A28" s="57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28.5" customHeight="1" x14ac:dyDescent="0.35">
      <c r="A29" s="50"/>
      <c r="B29" s="50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8.5" customHeight="1" x14ac:dyDescent="0.35">
      <c r="A30" s="50"/>
      <c r="B30" s="50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28.5" customHeight="1" x14ac:dyDescent="0.35">
      <c r="A31" s="50"/>
      <c r="B31" s="50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4.2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4.2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4.2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4.2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4.2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4.2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4.2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4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4.2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55A11"/>
  </sheetPr>
  <dimension ref="A1:L20"/>
  <sheetViews>
    <sheetView topLeftCell="A3" zoomScale="62" zoomScaleNormal="100" workbookViewId="0">
      <pane ySplit="3" topLeftCell="A6" activePane="bottomLeft" state="frozen"/>
      <selection activeCell="A3" sqref="A3"/>
      <selection pane="bottomLeft" activeCell="B12" sqref="B12"/>
    </sheetView>
  </sheetViews>
  <sheetFormatPr defaultColWidth="8.6328125" defaultRowHeight="15" customHeight="1" x14ac:dyDescent="0.35"/>
  <cols>
    <col min="1" max="1" width="42" customWidth="1"/>
    <col min="2" max="5" width="18" customWidth="1"/>
    <col min="6" max="12" width="42" customWidth="1"/>
  </cols>
  <sheetData>
    <row r="1" spans="1:12" ht="19.5" customHeight="1" x14ac:dyDescent="0.35">
      <c r="A1" s="64" t="s">
        <v>243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ht="15" customHeight="1" x14ac:dyDescent="0.35">
      <c r="A2" s="66" t="s">
        <v>244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2" ht="1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7.75" customHeight="1" x14ac:dyDescent="0.35">
      <c r="A4" s="58" t="s">
        <v>245</v>
      </c>
      <c r="B4" s="58" t="s">
        <v>246</v>
      </c>
      <c r="C4" s="58" t="s">
        <v>247</v>
      </c>
      <c r="D4" s="58" t="s">
        <v>248</v>
      </c>
      <c r="E4" s="58" t="s">
        <v>249</v>
      </c>
      <c r="F4" s="58" t="s">
        <v>250</v>
      </c>
      <c r="G4" s="58" t="s">
        <v>251</v>
      </c>
      <c r="H4" s="58" t="s">
        <v>252</v>
      </c>
      <c r="I4" s="58" t="s">
        <v>253</v>
      </c>
      <c r="J4" s="58" t="s">
        <v>254</v>
      </c>
      <c r="K4" s="58" t="s">
        <v>255</v>
      </c>
      <c r="L4" s="58" t="s">
        <v>234</v>
      </c>
    </row>
    <row r="5" spans="1:12" ht="14.25" customHeight="1" x14ac:dyDescent="0.35">
      <c r="A5" s="54" t="s">
        <v>256</v>
      </c>
      <c r="B5" s="59">
        <v>0.35</v>
      </c>
      <c r="C5" s="59">
        <v>0.35</v>
      </c>
      <c r="D5" s="59">
        <v>0.35</v>
      </c>
      <c r="E5" s="59">
        <v>0.04</v>
      </c>
      <c r="F5" s="60">
        <f>Assumptions!B11*Assumptions!B12*12</f>
        <v>162000</v>
      </c>
      <c r="G5" s="60">
        <f t="shared" ref="G5:H7" si="0">F5*(1+B5)</f>
        <v>218700</v>
      </c>
      <c r="H5" s="60">
        <f t="shared" si="0"/>
        <v>295245</v>
      </c>
      <c r="I5" s="60">
        <f>((H5*(1-D5))-(SUM(Assumptions!B22:B27)*12*(1+E5)^2)-CashFlow_36m!D45)*(1-Assumptions!B44)</f>
        <v>67803.382012319751</v>
      </c>
      <c r="J5" s="55">
        <f>I5/H5</f>
        <v>0.22965124561743552</v>
      </c>
      <c r="K5" s="60">
        <f>20000+(F5*(1-D5)-SUM(Assumptions!B22:B27)*12*1+PMT(Assumptions!B34/12,Assumptions!B35*12,Assumptions!B33)*12-IF((F5*(1-D5)-SUM(Assumptions!B22:B27)*12*1-CashFlow_36m!B45)&gt;0,(F5*(1-D5)-SUM(Assumptions!B22:B27)*12*1-CashFlow_36m!B45)*Assumptions!B44,0))+(G5*(1-D5)-SUM(Assumptions!B22:B27)*12*(1+E5)+PMT(Assumptions!B34/12,Assumptions!B35*12,Assumptions!B33)*12-IF((G5*(1-D5)-SUM(Assumptions!B22:B27)*12*(1+E5)-CashFlow_36m!C45)&gt;0,(G5*(1-D5)-SUM(Assumptions!B22:B27)*12*(1+E5)-CashFlow_36m!C45)*Assumptions!B44,0))+(H5*(1-D5)-SUM(Assumptions!B22:B27)*12*(1+E5)^2+PMT(Assumptions!B34/12,Assumptions!B35*12,Assumptions!B33)*12-IF((H5*(1-D5)-SUM(Assumptions!B22:B27)*12*(1+E5)^2-CashFlow_36m!D45)&gt;0,(H5*(1-D5)-SUM(Assumptions!B22:B27)*12*(1+E5)^2-CashFlow_36m!D45)*Assumptions!B44,0))</f>
        <v>90933.788394340285</v>
      </c>
      <c r="L5" s="61">
        <f>SUM(Assumptions!B22:B27)*12/(Assumptions!B11*(1-D5))</f>
        <v>3405.1282051282051</v>
      </c>
    </row>
    <row r="6" spans="1:12" ht="14.25" customHeight="1" x14ac:dyDescent="0.35">
      <c r="A6" s="54" t="s">
        <v>257</v>
      </c>
      <c r="B6" s="59">
        <f>Assumptions!B13</f>
        <v>0.25</v>
      </c>
      <c r="C6" s="59">
        <f>Assumptions!B14</f>
        <v>0.25</v>
      </c>
      <c r="D6" s="59">
        <f>Assumptions!B18</f>
        <v>0.4</v>
      </c>
      <c r="E6" s="59">
        <f>Assumptions!B28</f>
        <v>0.05</v>
      </c>
      <c r="F6" s="60">
        <f>Assumptions!B11*Assumptions!B12*12</f>
        <v>162000</v>
      </c>
      <c r="G6" s="60">
        <f t="shared" si="0"/>
        <v>202500</v>
      </c>
      <c r="H6" s="60">
        <f t="shared" si="0"/>
        <v>253125</v>
      </c>
      <c r="I6" s="60">
        <f>((H6*(1-D6))-(SUM(Assumptions!B22:B27)*12*(1+E6)^2)-CashFlow_36m!D45)*(1-Assumptions!B44)</f>
        <v>33689.511112319771</v>
      </c>
      <c r="J6" s="55">
        <f>I6/H6</f>
        <v>0.13309436488817689</v>
      </c>
      <c r="K6" s="60">
        <f>20000+(F6*(1-D6)-SUM(Assumptions!B22:B27)*12*1+PMT(Assumptions!B34/12,Assumptions!B35*12,Assumptions!B33)*12-IF((F6*(1-D6)-SUM(Assumptions!B22:B27)*12*1-CashFlow_36m!B45)&gt;0,(F6*(1-D6)-SUM(Assumptions!B22:B27)*12*1-CashFlow_36m!B45)*Assumptions!B44,0))+(G6*(1-D6)-SUM(Assumptions!B22:B27)*12*(1+E6)+PMT(Assumptions!B34/12,Assumptions!B35*12,Assumptions!B33)*12-IF((G6*(1-D6)-SUM(Assumptions!B22:B27)*12*(1+E6)-CashFlow_36m!C45)&gt;0,(G6*(1-D6)-SUM(Assumptions!B22:B27)*12*(1+E6)-CashFlow_36m!C45)*Assumptions!B44,0))+(H6*(1-D6)-SUM(Assumptions!B22:B27)*12*(1+E6)^2+PMT(Assumptions!B34/12,Assumptions!B35*12,Assumptions!B33)*12-IF((H6*(1-D6)-SUM(Assumptions!B22:B27)*12*(1+E6)^2-CashFlow_36m!D45)&gt;0,(H6*(1-D6)-SUM(Assumptions!B22:B27)*12*(1+E6)^2-CashFlow_36m!D45)*Assumptions!B44,0))</f>
        <v>31872.874869040679</v>
      </c>
      <c r="L6" s="61">
        <f>SUM(Assumptions!B22:B27)*12/(Assumptions!B11*(1-D6))</f>
        <v>3688.8888888888887</v>
      </c>
    </row>
    <row r="7" spans="1:12" ht="14.25" customHeight="1" x14ac:dyDescent="0.35">
      <c r="A7" s="54" t="s">
        <v>258</v>
      </c>
      <c r="B7" s="59">
        <v>0.1</v>
      </c>
      <c r="C7" s="59">
        <v>0.1</v>
      </c>
      <c r="D7" s="59">
        <v>0.45</v>
      </c>
      <c r="E7" s="59">
        <v>0.08</v>
      </c>
      <c r="F7" s="60">
        <f>Assumptions!B11*Assumptions!B12*12</f>
        <v>162000</v>
      </c>
      <c r="G7" s="60">
        <f t="shared" si="0"/>
        <v>178200</v>
      </c>
      <c r="H7" s="60">
        <f t="shared" si="0"/>
        <v>196020.00000000003</v>
      </c>
      <c r="I7" s="60">
        <f>((H7*(1-D7))-(SUM(Assumptions!B22:B27)*12*(1+E7)^2)-CashFlow_36m!D45)*(1-Assumptions!B44)</f>
        <v>-7157.5252876802233</v>
      </c>
      <c r="J7" s="55">
        <f>I7/H7</f>
        <v>-3.6514260216713716E-2</v>
      </c>
      <c r="K7" s="60">
        <f>20000+(F7*(1-D7)-SUM(Assumptions!B22:B27)*12*1+PMT(Assumptions!B34/12,Assumptions!B35*12,Assumptions!B33)*12-IF((F7*(1-D7)-SUM(Assumptions!B22:B27)*12*1-CashFlow_36m!B45)&gt;0,(F7*(1-D7)-SUM(Assumptions!B22:B27)*12*1-CashFlow_36m!B45)*Assumptions!B44,0))+(G7*(1-D7)-SUM(Assumptions!B22:B27)*12*(1+E7)+PMT(Assumptions!B34/12,Assumptions!B35*12,Assumptions!B33)*12-IF((G7*(1-D7)-SUM(Assumptions!B22:B27)*12*(1+E7)-CashFlow_36m!C45)&gt;0,(G7*(1-D7)-SUM(Assumptions!B22:B27)*12*(1+E7)-CashFlow_36m!C45)*Assumptions!B44,0))+(H7*(1-D7)-SUM(Assumptions!B22:B27)*12*(1+E7)^2+PMT(Assumptions!B34/12,Assumptions!B35*12,Assumptions!B33)*12-IF((H7*(1-D7)-SUM(Assumptions!B22:B27)*12*(1+E7)^2-CashFlow_36m!D45)&gt;0,(H7*(1-D7)-SUM(Assumptions!B22:B27)*12*(1+E7)^2-CashFlow_36m!D45)*Assumptions!B44,0))</f>
        <v>-42263.714698345284</v>
      </c>
      <c r="L7" s="61">
        <f>SUM(Assumptions!B22:B27)*12/(Assumptions!B11*(1-D7))</f>
        <v>4024.2424242424236</v>
      </c>
    </row>
    <row r="8" spans="1:12" ht="14.25" customHeight="1" x14ac:dyDescent="0.35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</row>
    <row r="9" spans="1:12" ht="14.25" customHeight="1" x14ac:dyDescent="0.35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</row>
    <row r="10" spans="1:12" ht="15" customHeight="1" x14ac:dyDescent="0.35">
      <c r="A10" s="67" t="s">
        <v>259</v>
      </c>
      <c r="B10" s="67"/>
      <c r="C10" s="67"/>
      <c r="D10" s="67"/>
      <c r="E10" s="67"/>
      <c r="F10" s="67"/>
      <c r="G10" s="67"/>
      <c r="H10" s="67"/>
      <c r="I10" s="54"/>
      <c r="J10" s="54"/>
      <c r="K10" s="54"/>
      <c r="L10" s="54"/>
    </row>
    <row r="11" spans="1:12" ht="27.75" customHeight="1" x14ac:dyDescent="0.35">
      <c r="A11" s="58" t="s">
        <v>245</v>
      </c>
      <c r="B11" s="58" t="s">
        <v>234</v>
      </c>
      <c r="C11" s="58" t="s">
        <v>235</v>
      </c>
      <c r="D11" s="58" t="s">
        <v>254</v>
      </c>
      <c r="E11" s="58" t="s">
        <v>255</v>
      </c>
      <c r="F11" s="58" t="s">
        <v>260</v>
      </c>
      <c r="G11" s="58" t="s">
        <v>261</v>
      </c>
      <c r="H11" s="58" t="s">
        <v>262</v>
      </c>
      <c r="I11" s="54"/>
      <c r="J11" s="54"/>
      <c r="K11" s="54"/>
      <c r="L11" s="54"/>
    </row>
    <row r="12" spans="1:12" ht="87" customHeight="1" x14ac:dyDescent="0.35">
      <c r="A12" s="54" t="str">
        <f>A5</f>
        <v>Best</v>
      </c>
      <c r="B12" s="61">
        <f>L5</f>
        <v>3405.1282051282051</v>
      </c>
      <c r="C12" s="62">
        <f>B12*Assumptions!B11</f>
        <v>153230.76923076922</v>
      </c>
      <c r="D12" s="55">
        <f t="shared" ref="D12:E14" si="1">J5</f>
        <v>0.22965124561743552</v>
      </c>
      <c r="E12" s="60">
        <f t="shared" si="1"/>
        <v>90933.788394340285</v>
      </c>
      <c r="F12" s="54" t="str">
        <f>IF(E12&gt;=0,"Positive","Funding / liquidity gap")</f>
        <v>Positive</v>
      </c>
      <c r="G12" s="54" t="str">
        <f>IF(I5&gt;=0,"Profitable","Loss")</f>
        <v>Profitable</v>
      </c>
      <c r="H12" s="54" t="s">
        <v>263</v>
      </c>
      <c r="I12" s="54"/>
      <c r="J12" s="54"/>
      <c r="K12" s="54"/>
      <c r="L12" s="54"/>
    </row>
    <row r="13" spans="1:12" ht="72" customHeight="1" x14ac:dyDescent="0.35">
      <c r="A13" s="54" t="str">
        <f>A6</f>
        <v>Base</v>
      </c>
      <c r="B13" s="61">
        <f>L6</f>
        <v>3688.8888888888887</v>
      </c>
      <c r="C13" s="62">
        <f>B13*Assumptions!B11</f>
        <v>166000</v>
      </c>
      <c r="D13" s="55">
        <f t="shared" si="1"/>
        <v>0.13309436488817689</v>
      </c>
      <c r="E13" s="60">
        <f t="shared" si="1"/>
        <v>31872.874869040679</v>
      </c>
      <c r="F13" s="54" t="str">
        <f>IF(E13&gt;=0,"Positive","Funding / liquidity gap")</f>
        <v>Positive</v>
      </c>
      <c r="G13" s="54" t="str">
        <f>IF(I6&gt;=0,"Profitable","Loss")</f>
        <v>Profitable</v>
      </c>
      <c r="H13" s="54" t="s">
        <v>264</v>
      </c>
      <c r="I13" s="54"/>
      <c r="J13" s="54"/>
      <c r="K13" s="54"/>
      <c r="L13" s="54"/>
    </row>
    <row r="14" spans="1:12" ht="101.25" customHeight="1" x14ac:dyDescent="0.35">
      <c r="A14" s="54" t="str">
        <f>A7</f>
        <v>Worst</v>
      </c>
      <c r="B14" s="61">
        <f>L7</f>
        <v>4024.2424242424236</v>
      </c>
      <c r="C14" s="62">
        <f>B14*Assumptions!B11</f>
        <v>181090.90909090906</v>
      </c>
      <c r="D14" s="55">
        <f t="shared" si="1"/>
        <v>-3.6514260216713716E-2</v>
      </c>
      <c r="E14" s="60">
        <f t="shared" si="1"/>
        <v>-42263.714698345284</v>
      </c>
      <c r="F14" s="54" t="str">
        <f>IF(E14&gt;=0,"Positive","Funding / liquidity gap")</f>
        <v>Funding / liquidity gap</v>
      </c>
      <c r="G14" s="54" t="str">
        <f>IF(I7&gt;=0,"Profitable","Loss")</f>
        <v>Loss</v>
      </c>
      <c r="H14" s="54" t="s">
        <v>265</v>
      </c>
      <c r="I14" s="54"/>
      <c r="J14" s="54"/>
      <c r="K14" s="54"/>
      <c r="L14" s="54"/>
    </row>
    <row r="15" spans="1:12" ht="1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4.25" customHeight="1" x14ac:dyDescent="0.35">
      <c r="A17" s="68" t="s">
        <v>266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</row>
    <row r="18" spans="1:12" ht="36" customHeight="1" x14ac:dyDescent="0.35">
      <c r="A18" s="65" t="s">
        <v>267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</row>
    <row r="19" spans="1:12" ht="36" customHeight="1" x14ac:dyDescent="0.35">
      <c r="A19" s="65" t="s">
        <v>268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</row>
    <row r="20" spans="1:12" ht="36" customHeight="1" x14ac:dyDescent="0.35">
      <c r="A20" s="65" t="s">
        <v>269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</row>
  </sheetData>
  <mergeCells count="7">
    <mergeCell ref="A19:L19"/>
    <mergeCell ref="A20:L20"/>
    <mergeCell ref="A1:L1"/>
    <mergeCell ref="A2:L2"/>
    <mergeCell ref="A10:H10"/>
    <mergeCell ref="A17:L17"/>
    <mergeCell ref="A18:L18"/>
  </mergeCells>
  <pageMargins left="0.7" right="0.7" top="0.75" bottom="0.75" header="0.511811023622047" footer="0.511811023622047"/>
  <pageSetup paperSize="9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Assumptions</vt:lpstr>
      <vt:lpstr>Startup Costs &amp; Use of Funds</vt:lpstr>
      <vt:lpstr>CashFlow_36m</vt:lpstr>
      <vt:lpstr>Funding Mix</vt:lpstr>
      <vt:lpstr>P&amp;L_3yr</vt:lpstr>
      <vt:lpstr>Break-Even</vt:lpstr>
      <vt:lpstr>KPIs_ByYear</vt:lpstr>
      <vt:lpstr>Dashboard</vt:lpstr>
      <vt:lpstr>Scenario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Vikrant Pachouri</cp:lastModifiedBy>
  <dcterms:modified xsi:type="dcterms:W3CDTF">2026-09-14T04:39:06Z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2026-09-09T06:18:09Z</dcterms:created>
  <dc:creator>Vikrant Pachouri</dc:creator>
  <dc:description/>
  <dc:language>en-US</dc:language>
  <cp:lastModifiedBy>Vikrant Pachouri</cp:lastModifiedBy>
  <dcterms:modified xsi:type="dcterms:W3CDTF">2026-09-12T05:02:25Z</dcterms:modified>
  <cp:revision>0</cp:revision>
  <dc:subject/>
  <dc:title/>
</cp:coreProperties>
</file>