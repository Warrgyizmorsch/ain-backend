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3E03717B-8F46-4BE7-9D74-EF75D2E8FA7C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Raw Financial Data" sheetId="1" r:id="rId1"/>
    <sheet name="Profitability Ratios" sheetId="2" r:id="rId2"/>
    <sheet name="Liquidity Ratios" sheetId="3" r:id="rId3"/>
    <sheet name="Efficiency Ratios" sheetId="4" r:id="rId4"/>
    <sheet name="Market Perform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D13" i="4" l="1"/>
  <c r="D12" i="4"/>
  <c r="D11" i="4"/>
  <c r="C13" i="4"/>
  <c r="C12" i="4"/>
  <c r="C11" i="4"/>
  <c r="B13" i="4"/>
  <c r="B12" i="4"/>
  <c r="B11" i="4"/>
  <c r="C12" i="3"/>
  <c r="C11" i="3"/>
  <c r="C10" i="3"/>
  <c r="B12" i="3"/>
  <c r="B11" i="3"/>
  <c r="B10" i="3"/>
  <c r="B18" i="2"/>
  <c r="B17" i="2"/>
  <c r="B16" i="2"/>
  <c r="D12" i="2"/>
  <c r="D11" i="2"/>
  <c r="D10" i="2"/>
  <c r="C12" i="2"/>
  <c r="C11" i="2"/>
  <c r="C10" i="2"/>
  <c r="B12" i="2"/>
  <c r="B11" i="2"/>
  <c r="B10" i="2"/>
  <c r="D7" i="5"/>
  <c r="C7" i="5"/>
  <c r="B7" i="5"/>
  <c r="D6" i="5"/>
  <c r="C6" i="5"/>
  <c r="B6" i="5"/>
  <c r="D5" i="5"/>
  <c r="C5" i="5"/>
  <c r="B5" i="5"/>
  <c r="D6" i="4"/>
  <c r="C6" i="4"/>
  <c r="B6" i="4"/>
  <c r="D5" i="4"/>
  <c r="C5" i="4"/>
  <c r="B5" i="4"/>
  <c r="D4" i="4"/>
  <c r="C4" i="4"/>
  <c r="B4" i="4"/>
  <c r="C5" i="3"/>
  <c r="D4" i="3"/>
  <c r="D5" i="3"/>
  <c r="B5" i="3"/>
  <c r="C4" i="3"/>
  <c r="B4" i="3"/>
  <c r="D4" i="2"/>
  <c r="D7" i="2"/>
  <c r="C7" i="2"/>
  <c r="B7" i="2"/>
  <c r="D6" i="2"/>
  <c r="C6" i="2"/>
  <c r="B6" i="2"/>
  <c r="D5" i="2"/>
  <c r="C5" i="2"/>
  <c r="C4" i="2"/>
  <c r="B4" i="2"/>
  <c r="B5" i="2"/>
</calcChain>
</file>

<file path=xl/sharedStrings.xml><?xml version="1.0" encoding="utf-8"?>
<sst xmlns="http://schemas.openxmlformats.org/spreadsheetml/2006/main" count="120" uniqueCount="53">
  <si>
    <t>Particulars</t>
  </si>
  <si>
    <t>FY2023</t>
  </si>
  <si>
    <t>FY2024</t>
  </si>
  <si>
    <t>FY2025</t>
  </si>
  <si>
    <t>Revenue</t>
  </si>
  <si>
    <t>Cost of Sales</t>
  </si>
  <si>
    <t>Gross Profit</t>
  </si>
  <si>
    <t>Operating Profit</t>
  </si>
  <si>
    <t>Profit Before Tax</t>
  </si>
  <si>
    <t>Profit After Tax</t>
  </si>
  <si>
    <t>Finance Costs</t>
  </si>
  <si>
    <t>Income Statement Data (£ million)</t>
  </si>
  <si>
    <t>Balance Sheet Data (£ million)</t>
  </si>
  <si>
    <t>Current Assets</t>
  </si>
  <si>
    <t>Current Liabilities</t>
  </si>
  <si>
    <t>Inventory</t>
  </si>
  <si>
    <t>Trade Receivables</t>
  </si>
  <si>
    <t>Trade Payables</t>
  </si>
  <si>
    <t>Total Assets</t>
  </si>
  <si>
    <t>Total Equity</t>
  </si>
  <si>
    <t>Total Debt</t>
  </si>
  <si>
    <t>Basic EPS</t>
  </si>
  <si>
    <t>Diluted EPS</t>
  </si>
  <si>
    <t>Dividend per Share</t>
  </si>
  <si>
    <t>Year-end Share Price</t>
  </si>
  <si>
    <t>Profitability Analysis</t>
  </si>
  <si>
    <t>Ratio</t>
  </si>
  <si>
    <t>Gross Profit Margin</t>
  </si>
  <si>
    <t>Operating Profit Margin</t>
  </si>
  <si>
    <t>Net Profit Margin</t>
  </si>
  <si>
    <t>ROCE</t>
  </si>
  <si>
    <t>Liquidity Analysis</t>
  </si>
  <si>
    <t>Current Ratio</t>
  </si>
  <si>
    <t>Quick Ratio</t>
  </si>
  <si>
    <t>Efficiency Analysis</t>
  </si>
  <si>
    <t>Inventory Days</t>
  </si>
  <si>
    <t>Receivable Days</t>
  </si>
  <si>
    <t>Payable Days</t>
  </si>
  <si>
    <t>Investor Ratios</t>
  </si>
  <si>
    <t>EPS</t>
  </si>
  <si>
    <t>PE Ratio</t>
  </si>
  <si>
    <t>Dividend Yield</t>
  </si>
  <si>
    <t>Dividend Cover</t>
  </si>
  <si>
    <t>Market Information</t>
  </si>
  <si>
    <t>Capital Employed Data</t>
  </si>
  <si>
    <t>Non-current Debt</t>
  </si>
  <si>
    <t>Capital Employed</t>
  </si>
  <si>
    <t>13.65p</t>
  </si>
  <si>
    <t>24.53p</t>
  </si>
  <si>
    <t>23.13p</t>
  </si>
  <si>
    <t>YEARS</t>
  </si>
  <si>
    <t>REVENUE (£ million)</t>
  </si>
  <si>
    <t>Market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</si>
</sst>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4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/>
    <xf numFmtId="3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 readingOrder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TESCO REVENUE GROWTH (£ million)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Financial Data'!$B$12</c:f>
              <c:strCache>
                <c:ptCount val="1"/>
                <c:pt idx="0">
                  <c:v>REVENUE (£ million)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Financial Data'!$A$13:$A$15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'Raw Financial Data'!$B$13:$B$15</c:f>
              <c:numCache>
                <c:formatCode>#,##0</c:formatCode>
                <c:ptCount val="3"/>
                <c:pt idx="0">
                  <c:v>65762</c:v>
                </c:pt>
                <c:pt idx="1">
                  <c:v>68187</c:v>
                </c:pt>
                <c:pt idx="2">
                  <c:v>69916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C-4681-8454-2C10156FD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4681663"/>
        <c:axId val="534683327"/>
      </c:barChart>
      <c:catAx>
        <c:axId val="53468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3327"/>
        <c:crosses val="autoZero"/>
        <c:auto val="1"/>
        <c:lblAlgn val="ctr"/>
        <c:lblOffset val="100"/>
        <c:noMultiLvlLbl val="0"/>
      </c:catAx>
      <c:valAx>
        <c:axId val="534683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Tesco Profitability Performance (FY2023–FY2025)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'Profitability Ratios'!$A$10</c:f>
              <c:strCache>
                <c:ptCount val="1"/>
                <c:pt idx="0">
                  <c:v>FY2023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'Profitability Ratios'!$B$9:$D$9</c:f>
              <c:strCache>
                <c:ptCount val="3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</c:strCache>
            </c:strRef>
          </c:cat>
          <c:val>
            <c:numRef>
              <c:f>'Profitability Ratios'!$B$10:$D$10</c:f>
              <c:numCache>
                <c:formatCode>0.00%</c:formatCode>
                <c:ptCount val="3"/>
                <c:pt idx="0">
                  <c:v>0.10407226057601654</c:v>
                </c:pt>
                <c:pt idx="1">
                  <c:v>4.0281621605182324E-2</c:v>
                </c:pt>
                <c:pt idx="2">
                  <c:v>1.5206350171831758E-2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0-4802-A055-65122173EB51}"/>
            </c:ext>
          </c:extLst>
        </c:ser>
        <c:ser>
          <c:idx val="1"/>
          <c:order val="1"/>
          <c:tx>
            <c:strRef>
              <c:f>'Profitability Ratios'!$A$11</c:f>
              <c:strCache>
                <c:ptCount val="1"/>
                <c:pt idx="0">
                  <c:v>FY2024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'Profitability Ratios'!$B$9:$D$9</c:f>
              <c:strCache>
                <c:ptCount val="3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</c:strCache>
            </c:strRef>
          </c:cat>
          <c:val>
            <c:numRef>
              <c:f>'Profitability Ratios'!$B$11:$D$11</c:f>
              <c:numCache>
                <c:formatCode>0.00%</c:formatCode>
                <c:ptCount val="3"/>
                <c:pt idx="0">
                  <c:v>0.10488802850983325</c:v>
                </c:pt>
                <c:pt idx="1">
                  <c:v>4.1371522430961913E-2</c:v>
                </c:pt>
                <c:pt idx="2">
                  <c:v>2.5870033877425317E-2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0-4802-A055-65122173EB51}"/>
            </c:ext>
          </c:extLst>
        </c:ser>
        <c:ser>
          <c:idx val="2"/>
          <c:order val="2"/>
          <c:tx>
            <c:strRef>
              <c:f>'Profitability Ratios'!$A$12</c:f>
              <c:strCache>
                <c:ptCount val="1"/>
                <c:pt idx="0">
                  <c:v>FY2025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'Profitability Ratios'!$B$9:$D$9</c:f>
              <c:strCache>
                <c:ptCount val="3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</c:strCache>
            </c:strRef>
          </c:cat>
          <c:val>
            <c:numRef>
              <c:f>'Profitability Ratios'!$B$12:$D$12</c:f>
              <c:numCache>
                <c:formatCode>0.00%</c:formatCode>
                <c:ptCount val="3"/>
                <c:pt idx="0">
                  <c:v>0.10715716002059614</c:v>
                </c:pt>
                <c:pt idx="1">
                  <c:v>3.8775101550431949E-2</c:v>
                </c:pt>
                <c:pt idx="2">
                  <c:v>2.2941815893357743E-2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0-4802-A055-65122173E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93183"/>
        <c:axId val="167799007"/>
      </c:lineChart>
      <c:catAx>
        <c:axId val="16779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9007"/>
        <c:crosses val="autoZero"/>
        <c:auto val="1"/>
        <c:lblAlgn val="ctr"/>
        <c:lblOffset val="100"/>
        <c:noMultiLvlLbl val="0"/>
      </c:catAx>
      <c:valAx>
        <c:axId val="167799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Tesco Return on Capital Employed (FY2023–FY2025)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'Profitability Ratios'!$B$15</c:f>
              <c:strCache>
                <c:ptCount val="1"/>
                <c:pt idx="0">
                  <c:v>ROCE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98-4203-A606-8A78323998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98-4203-A606-8A78323998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98-4203-A606-8A78323998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'Profitability Ratios'!$A$16:$A$18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'Profitability Ratios'!$B$16:$B$18</c:f>
              <c:numCache>
                <c:formatCode>0.00%</c:formatCode>
                <c:ptCount val="3"/>
                <c:pt idx="0">
                  <c:v>0.14716666666666667</c:v>
                </c:pt>
                <c:pt idx="1">
                  <c:v>0.15514491558048726</c:v>
                </c:pt>
                <c:pt idx="2">
                  <c:v>0.15154564257364861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98-4203-A606-8A78323998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Tesco Liquidity Position (FY2023–FY2025)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'Liquidity Ratios'!$A$10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Ratios'!$B$9:$C$9</c:f>
              <c:strCache>
                <c:ptCount val="2"/>
                <c:pt idx="0">
                  <c:v>Current Ratio</c:v>
                </c:pt>
                <c:pt idx="1">
                  <c:v>Quick Ratio</c:v>
                </c:pt>
              </c:strCache>
            </c:strRef>
          </c:cat>
          <c:val>
            <c:numRef>
              <c:f>'Liquidity Ratios'!$B$10:$C$10</c:f>
              <c:numCache>
                <c:formatCode>0.00</c:formatCode>
                <c:ptCount val="2"/>
                <c:pt idx="0">
                  <c:v>0.60848275862068968</c:v>
                </c:pt>
                <c:pt idx="1">
                  <c:v>0.4267586206896552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B-415E-99CA-8C5FC83B18B6}"/>
            </c:ext>
          </c:extLst>
        </c:ser>
        <c:ser>
          <c:idx val="1"/>
          <c:order val="1"/>
          <c:tx>
            <c:strRef>
              <c:f>'Liquidity Ratios'!$A$11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Ratios'!$B$9:$C$9</c:f>
              <c:strCache>
                <c:ptCount val="2"/>
                <c:pt idx="0">
                  <c:v>Current Ratio</c:v>
                </c:pt>
                <c:pt idx="1">
                  <c:v>Quick Ratio</c:v>
                </c:pt>
              </c:strCache>
            </c:strRef>
          </c:cat>
          <c:val>
            <c:numRef>
              <c:f>'Liquidity Ratios'!$B$11:$C$11</c:f>
              <c:numCache>
                <c:formatCode>0.00</c:formatCode>
                <c:ptCount val="2"/>
                <c:pt idx="0">
                  <c:v>0.66089887640449441</c:v>
                </c:pt>
                <c:pt idx="1">
                  <c:v>0.4635205992509363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B-415E-99CA-8C5FC83B18B6}"/>
            </c:ext>
          </c:extLst>
        </c:ser>
        <c:ser>
          <c:idx val="2"/>
          <c:order val="2"/>
          <c:tx>
            <c:strRef>
              <c:f>'Liquidity Ratios'!$A$12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Ratios'!$B$9:$C$9</c:f>
              <c:strCache>
                <c:ptCount val="2"/>
                <c:pt idx="0">
                  <c:v>Current Ratio</c:v>
                </c:pt>
                <c:pt idx="1">
                  <c:v>Quick Ratio</c:v>
                </c:pt>
              </c:strCache>
            </c:strRef>
          </c:cat>
          <c:val>
            <c:numRef>
              <c:f>'Liquidity Ratios'!$B$12:$C$12</c:f>
              <c:numCache>
                <c:formatCode>0.00</c:formatCode>
                <c:ptCount val="2"/>
                <c:pt idx="0">
                  <c:v>0.637192474674385</c:v>
                </c:pt>
                <c:pt idx="1">
                  <c:v>0.43690303907380607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B-415E-99CA-8C5FC83B18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819391"/>
        <c:axId val="167820223"/>
      </c:barChart>
      <c:catAx>
        <c:axId val="167819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0223"/>
        <c:crosses val="autoZero"/>
        <c:auto val="1"/>
        <c:lblAlgn val="ctr"/>
        <c:lblOffset val="100"/>
        <c:noMultiLvlLbl val="0"/>
      </c:catAx>
      <c:valAx>
        <c:axId val="16782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Tesco Working Capital Efficiency (FY2023–FY2025)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'Efficiency Ratios'!$B$10</c:f>
              <c:strCache>
                <c:ptCount val="1"/>
                <c:pt idx="0">
                  <c:v>Inventory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'Efficiency Ratios'!$A$11:$A$13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'Efficiency Ratios'!$B$11:$B$13</c:f>
              <c:numCache>
                <c:formatCode>0.00</c:formatCode>
                <c:ptCount val="3"/>
                <c:pt idx="0">
                  <c:v>16.323958722291998</c:v>
                </c:pt>
                <c:pt idx="1">
                  <c:v>15.757761939870568</c:v>
                </c:pt>
                <c:pt idx="2">
                  <c:v>16.18480071767269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9-4630-8FB5-AA517C0EC97D}"/>
            </c:ext>
          </c:extLst>
        </c:ser>
        <c:ser>
          <c:idx val="1"/>
          <c:order val="1"/>
          <c:tx>
            <c:strRef>
              <c:f>'Efficiency Ratios'!$C$10</c:f>
              <c:strCache>
                <c:ptCount val="1"/>
                <c:pt idx="0">
                  <c:v>Receivable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'Efficiency Ratios'!$A$11:$A$13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'Efficiency Ratios'!$C$11:$C$13</c:f>
              <c:numCache>
                <c:formatCode>0.00</c:formatCode>
                <c:ptCount val="3"/>
                <c:pt idx="0">
                  <c:v>7.4873787293573795</c:v>
                </c:pt>
                <c:pt idx="1">
                  <c:v>7.2210978632290619</c:v>
                </c:pt>
                <c:pt idx="2">
                  <c:v>6.316865953429831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9-4630-8FB5-AA517C0EC97D}"/>
            </c:ext>
          </c:extLst>
        </c:ser>
        <c:ser>
          <c:idx val="2"/>
          <c:order val="2"/>
          <c:tx>
            <c:strRef>
              <c:f>'Efficiency Ratios'!$D$10</c:f>
              <c:strCache>
                <c:ptCount val="1"/>
                <c:pt idx="0">
                  <c:v>Payable Days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'Efficiency Ratios'!$A$11:$A$13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'Efficiency Ratios'!$D$11:$D$13</c:f>
              <c:numCache>
                <c:formatCode>0.00</c:formatCode>
                <c:ptCount val="3"/>
                <c:pt idx="0">
                  <c:v>63.586000882582567</c:v>
                </c:pt>
                <c:pt idx="1">
                  <c:v>61.380519374129591</c:v>
                </c:pt>
                <c:pt idx="2">
                  <c:v>60.599448929898756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9-4630-8FB5-AA517C0EC9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5640287"/>
        <c:axId val="2075645279"/>
      </c:lineChart>
      <c:catAx>
        <c:axId val="207564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45279"/>
        <c:crosses val="autoZero"/>
        <c:auto val="1"/>
        <c:lblAlgn val="ctr"/>
        <c:lblOffset val="100"/>
        <c:noMultiLvlLbl val="0"/>
      </c:catAx>
      <c:valAx>
        <c:axId val="2075645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4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Tesco Shareholder Returns: EPS and Dividend Growth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Performance'!$B$10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'Market Performance'!$A$11:$A$13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'Market Performance'!$B$11:$B$13</c:f>
              <c:numCache>
                <c:formatCode>0.00</c:formatCode>
                <c:ptCount val="3"/>
                <c:pt idx="0">
                  <c:v>13.65</c:v>
                </c:pt>
                <c:pt idx="1">
                  <c:v>24.53</c:v>
                </c:pt>
                <c:pt idx="2">
                  <c:v>23.13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6-4E67-93A3-CAED606E2BF2}"/>
            </c:ext>
          </c:extLst>
        </c:ser>
        <c:ser>
          <c:idx val="1"/>
          <c:order val="1"/>
          <c:tx>
            <c:strRef>
              <c:f>'Market Performance'!$C$10</c:f>
              <c:strCache>
                <c:ptCount val="1"/>
                <c:pt idx="0">
                  <c:v>Receivable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'Market Performance'!$A$11:$A$13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'Market Performance'!$C$11:$C$13</c:f>
              <c:numCache>
                <c:formatCode>0.00</c:formatCode>
                <c:ptCount val="3"/>
                <c:pt idx="0">
                  <c:v>10.9</c:v>
                </c:pt>
                <c:pt idx="1">
                  <c:v>12.1</c:v>
                </c:pt>
                <c:pt idx="2">
                  <c:v>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6-4E67-93A3-CAED606E2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3172879"/>
        <c:axId val="1983175791"/>
      </c:barChart>
      <c:catAx>
        <c:axId val="198317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175791"/>
        <c:crosses val="autoZero"/>
        <c:auto val="1"/>
        <c:lblAlgn val="ctr"/>
        <c:lblOffset val="100"/>
        <c:noMultiLvlLbl val="0"/>
      </c:catAx>
      <c:valAx>
        <c:axId val="1983175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EPS</a:t>
                </a:r>
                <a:r>
                  <a:rPr lang="en-US" baseline="0"/>
                  <a:t> &amp; DIVIDEND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17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487981</xdr:colOff>
      <xdr:row>7</xdr:row>
      <xdr:rowOff>137342</xdr:rowOff>
    </xdr:from>
    <xdr:to>
      <xdr:col>17</xdr:col>
      <xdr:colOff>84220</xdr:colOff>
      <xdr:row>24</xdr:row>
      <xdr:rowOff>14883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469446</xdr:colOff>
      <xdr:row>0</xdr:row>
      <xdr:rowOff>0</xdr:rowOff>
    </xdr:from>
    <xdr:to>
      <xdr:col>12</xdr:col>
      <xdr:colOff>184451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460072</xdr:colOff>
      <xdr:row>0</xdr:row>
      <xdr:rowOff>0</xdr:rowOff>
    </xdr:from>
    <xdr:to>
      <xdr:col>20</xdr:col>
      <xdr:colOff>191558</xdr:colOff>
      <xdr:row>16</xdr:row>
      <xdr:rowOff>17992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0</xdr:rowOff>
    </xdr:from>
    <xdr:to>
      <xdr:col>14</xdr:col>
      <xdr:colOff>390525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230981</xdr:colOff>
      <xdr:row>0</xdr:row>
      <xdr:rowOff>76201</xdr:rowOff>
    </xdr:from>
    <xdr:to>
      <xdr:col>15</xdr:col>
      <xdr:colOff>23812</xdr:colOff>
      <xdr:row>16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28575</xdr:rowOff>
    </xdr:from>
    <xdr:to>
      <xdr:col>13</xdr:col>
      <xdr:colOff>561975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zoomScale="64" zoomScaleNormal="85" workbookViewId="0">
      <selection activeCell="I45" sqref="I45"/>
    </sheetView>
  </sheetViews>
  <sheetFormatPr defaultRowHeight="15" x14ac:dyDescent="0.25"/>
  <cols>
    <col min="1" max="1" width="18.28515625" customWidth="1"/>
    <col min="2" max="2" width="28.42578125" customWidth="1"/>
    <col min="3" max="3" width="12.7109375" customWidth="1"/>
    <col min="4" max="4" width="14.85546875" customWidth="1"/>
    <col min="6" max="6" width="21.5703125" customWidth="1"/>
    <col min="7" max="7" width="15.28515625" customWidth="1"/>
    <col min="8" max="8" width="12.5703125" customWidth="1"/>
    <col min="9" max="9" width="12.85546875" customWidth="1"/>
    <col min="11" max="11" width="22.140625" customWidth="1"/>
    <col min="12" max="12" width="16.85546875" customWidth="1"/>
    <col min="13" max="13" width="14.7109375" customWidth="1"/>
    <col min="14" max="14" width="13.28515625" customWidth="1"/>
    <col min="16" max="16" width="19.28515625" customWidth="1"/>
    <col min="17" max="17" width="13.42578125" customWidth="1"/>
    <col min="18" max="18" width="15.7109375" customWidth="1"/>
    <col min="19" max="19" width="13" customWidth="1"/>
  </cols>
  <sheetData>
    <row r="1" spans="1:20" ht="25.5" x14ac:dyDescent="0.35">
      <c r="A1" s="19" t="s">
        <v>11</v>
      </c>
      <c r="B1" s="19"/>
      <c r="C1" s="19"/>
      <c r="D1" s="19"/>
      <c r="F1" s="19" t="s">
        <v>12</v>
      </c>
      <c r="G1" s="19"/>
      <c r="H1" s="19"/>
      <c r="I1" s="19"/>
      <c r="J1" s="2"/>
      <c r="K1" s="19" t="s">
        <v>43</v>
      </c>
      <c r="L1" s="19"/>
      <c r="M1" s="19"/>
      <c r="N1" s="19"/>
      <c r="P1" s="19" t="s">
        <v>44</v>
      </c>
      <c r="Q1" s="19"/>
      <c r="R1" s="19"/>
      <c r="S1" s="19"/>
      <c r="T1" s="2"/>
    </row>
    <row r="3" spans="1:20" ht="67.5" x14ac:dyDescent="0.25">
      <c r="A3" s="1" t="s">
        <v>0</v>
      </c>
      <c r="B3" s="1" t="s">
        <v>1</v>
      </c>
      <c r="C3" s="1" t="s">
        <v>2</v>
      </c>
      <c r="D3" s="1" t="s">
        <v>3</v>
      </c>
      <c r="F3" s="1" t="s">
        <v>0</v>
      </c>
      <c r="G3" s="1" t="s">
        <v>1</v>
      </c>
      <c r="H3" s="1" t="s">
        <v>2</v>
      </c>
      <c r="I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P3" s="1" t="s">
        <v>0</v>
      </c>
      <c r="Q3" s="1" t="s">
        <v>1</v>
      </c>
      <c r="R3" s="1" t="s">
        <v>2</v>
      </c>
      <c r="S3" s="1" t="s">
        <v>3</v>
      </c>
    </row>
    <row r="4" spans="1:20" ht="15.75" x14ac:dyDescent="0.25">
      <c r="A4" s="3" t="s">
        <v>4</v>
      </c>
      <c r="B4" s="9">
        <v>65762</v>
      </c>
      <c r="C4" s="9">
        <v>68187</v>
      </c>
      <c r="D4" s="9">
        <v>69916</v>
      </c>
      <c r="F4" s="3" t="s">
        <v>13</v>
      </c>
      <c r="G4" s="10">
        <v>8823</v>
      </c>
      <c r="H4" s="10">
        <v>8823</v>
      </c>
      <c r="I4" s="10">
        <v>8806</v>
      </c>
      <c r="K4" s="3" t="s">
        <v>21</v>
      </c>
      <c r="L4" s="5">
        <v>13.65</v>
      </c>
      <c r="M4" s="5">
        <v>24.53</v>
      </c>
      <c r="N4" s="5">
        <v>23.13</v>
      </c>
      <c r="P4" s="3" t="s">
        <v>19</v>
      </c>
      <c r="Q4" s="11">
        <v>12000</v>
      </c>
      <c r="R4" s="11">
        <v>12500</v>
      </c>
      <c r="S4" s="11">
        <v>12800</v>
      </c>
    </row>
    <row r="5" spans="1:20" ht="15.75" x14ac:dyDescent="0.25">
      <c r="A5" s="3" t="s">
        <v>5</v>
      </c>
      <c r="B5" s="9">
        <v>58918</v>
      </c>
      <c r="C5" s="9">
        <v>61035</v>
      </c>
      <c r="D5" s="9">
        <v>62424</v>
      </c>
      <c r="F5" s="3" t="s">
        <v>14</v>
      </c>
      <c r="G5" s="10">
        <v>14500</v>
      </c>
      <c r="H5" s="10">
        <v>13350</v>
      </c>
      <c r="I5" s="10">
        <v>13820</v>
      </c>
      <c r="K5" s="3" t="s">
        <v>22</v>
      </c>
      <c r="L5" s="5">
        <v>22.28</v>
      </c>
      <c r="M5" s="5">
        <v>23.41</v>
      </c>
      <c r="N5" s="5">
        <v>27.38</v>
      </c>
      <c r="P5" s="3" t="s">
        <v>45</v>
      </c>
      <c r="Q5" s="11">
        <v>6000</v>
      </c>
      <c r="R5" s="11">
        <v>5683</v>
      </c>
      <c r="S5" s="11">
        <v>5089</v>
      </c>
    </row>
    <row r="6" spans="1:20" ht="15.75" x14ac:dyDescent="0.25">
      <c r="A6" s="3" t="s">
        <v>6</v>
      </c>
      <c r="B6" s="9">
        <v>6844</v>
      </c>
      <c r="C6" s="9">
        <v>7152</v>
      </c>
      <c r="D6" s="9">
        <v>7492</v>
      </c>
      <c r="F6" s="3" t="s">
        <v>15</v>
      </c>
      <c r="G6" s="10">
        <v>2635</v>
      </c>
      <c r="H6" s="10">
        <v>2635</v>
      </c>
      <c r="I6" s="10">
        <v>2768</v>
      </c>
      <c r="K6" s="3" t="s">
        <v>23</v>
      </c>
      <c r="L6" s="5">
        <v>10.9</v>
      </c>
      <c r="M6" s="5">
        <v>12.1</v>
      </c>
      <c r="N6" s="5">
        <v>13.7</v>
      </c>
      <c r="P6" s="3" t="s">
        <v>46</v>
      </c>
      <c r="Q6" s="11">
        <v>18000</v>
      </c>
      <c r="R6" s="11">
        <v>18183</v>
      </c>
      <c r="S6" s="11">
        <v>17889</v>
      </c>
    </row>
    <row r="7" spans="1:20" ht="15.75" x14ac:dyDescent="0.25">
      <c r="A7" s="3" t="s">
        <v>7</v>
      </c>
      <c r="B7" s="9">
        <v>2649</v>
      </c>
      <c r="C7" s="9">
        <v>2821</v>
      </c>
      <c r="D7" s="9">
        <v>2711</v>
      </c>
      <c r="F7" s="3" t="s">
        <v>16</v>
      </c>
      <c r="G7" s="10">
        <v>1349</v>
      </c>
      <c r="H7" s="10">
        <v>1349</v>
      </c>
      <c r="I7" s="10">
        <v>1210</v>
      </c>
      <c r="K7" s="3" t="s">
        <v>24</v>
      </c>
      <c r="L7" s="5">
        <v>2.65</v>
      </c>
      <c r="M7" s="5">
        <v>2.92</v>
      </c>
      <c r="N7" s="3">
        <v>3.6</v>
      </c>
    </row>
    <row r="8" spans="1:20" ht="15.75" x14ac:dyDescent="0.25">
      <c r="A8" s="3" t="s">
        <v>8</v>
      </c>
      <c r="B8" s="9">
        <v>2030</v>
      </c>
      <c r="C8" s="9">
        <v>2289</v>
      </c>
      <c r="D8" s="9">
        <v>2215</v>
      </c>
      <c r="F8" s="3" t="s">
        <v>17</v>
      </c>
      <c r="G8" s="10">
        <v>10264</v>
      </c>
      <c r="H8" s="10">
        <v>10264</v>
      </c>
      <c r="I8" s="10">
        <v>10364</v>
      </c>
      <c r="K8" s="7"/>
      <c r="L8" s="7"/>
      <c r="M8" s="7"/>
      <c r="N8" s="7"/>
    </row>
    <row r="9" spans="1:20" ht="15.75" x14ac:dyDescent="0.25">
      <c r="A9" s="3" t="s">
        <v>9</v>
      </c>
      <c r="B9" s="9">
        <v>1000</v>
      </c>
      <c r="C9" s="9">
        <v>1764</v>
      </c>
      <c r="D9" s="9">
        <v>1604</v>
      </c>
      <c r="F9" s="3" t="s">
        <v>18</v>
      </c>
      <c r="G9" s="10">
        <v>41100</v>
      </c>
      <c r="H9" s="10">
        <v>47039</v>
      </c>
      <c r="I9" s="10">
        <v>46700</v>
      </c>
    </row>
    <row r="10" spans="1:20" ht="15.75" x14ac:dyDescent="0.25">
      <c r="A10" s="3" t="s">
        <v>10</v>
      </c>
      <c r="B10" s="4">
        <v>536</v>
      </c>
      <c r="C10" s="4">
        <v>538</v>
      </c>
      <c r="D10" s="4">
        <v>492</v>
      </c>
      <c r="F10" s="3" t="s">
        <v>19</v>
      </c>
      <c r="G10" s="10">
        <v>12000</v>
      </c>
      <c r="H10" s="10">
        <v>12500</v>
      </c>
      <c r="I10" s="11">
        <v>12800</v>
      </c>
    </row>
    <row r="11" spans="1:20" ht="15.75" x14ac:dyDescent="0.25">
      <c r="F11" s="3" t="s">
        <v>20</v>
      </c>
      <c r="G11" s="9">
        <v>14401</v>
      </c>
      <c r="H11" s="9">
        <v>14029</v>
      </c>
      <c r="I11" s="9">
        <v>13810</v>
      </c>
    </row>
    <row r="12" spans="1:20" ht="45" x14ac:dyDescent="0.25">
      <c r="A12" s="1" t="s">
        <v>50</v>
      </c>
      <c r="B12" s="1" t="s">
        <v>51</v>
      </c>
    </row>
    <row r="13" spans="1:20" ht="15.75" x14ac:dyDescent="0.25">
      <c r="A13" s="15" t="s">
        <v>1</v>
      </c>
      <c r="B13" s="9">
        <v>65762</v>
      </c>
    </row>
    <row r="14" spans="1:20" ht="15.75" x14ac:dyDescent="0.25">
      <c r="A14" s="15" t="s">
        <v>2</v>
      </c>
      <c r="B14" s="9">
        <v>68187</v>
      </c>
    </row>
    <row r="15" spans="1:20" ht="15.75" x14ac:dyDescent="0.25">
      <c r="A15" s="15" t="s">
        <v>3</v>
      </c>
      <c r="B15" s="9">
        <v>69916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zoomScale="63" workbookViewId="0">
      <selection activeCell="F63" sqref="F63"/>
    </sheetView>
  </sheetViews>
  <sheetFormatPr defaultRowHeight="15" x14ac:dyDescent="0.25"/>
  <cols>
    <col min="1" max="1" width="17.42578125" customWidth="1"/>
    <col min="2" max="2" width="36.140625" customWidth="1"/>
    <col min="3" max="3" width="39.42578125" customWidth="1"/>
    <col min="4" max="4" width="32.85546875" customWidth="1"/>
    <col min="5" max="5" width="14" customWidth="1"/>
  </cols>
  <sheetData>
    <row r="1" spans="1:11" ht="25.5" x14ac:dyDescent="0.35">
      <c r="A1" s="19" t="s">
        <v>25</v>
      </c>
      <c r="B1" s="19"/>
      <c r="C1" s="19"/>
      <c r="D1" s="19"/>
      <c r="E1" s="8"/>
    </row>
    <row r="3" spans="1:11" ht="22.5" x14ac:dyDescent="0.25">
      <c r="A3" s="1" t="s">
        <v>26</v>
      </c>
      <c r="B3" s="1" t="s">
        <v>1</v>
      </c>
      <c r="C3" s="1" t="s">
        <v>2</v>
      </c>
      <c r="D3" s="1" t="s">
        <v>3</v>
      </c>
    </row>
    <row r="4" spans="1:11" ht="31.5" x14ac:dyDescent="0.25">
      <c r="A4" s="3" t="s">
        <v>27</v>
      </c>
      <c r="B4" s="13">
        <f>6844/65762</f>
        <v>0.10407226057601654</v>
      </c>
      <c r="C4" s="13">
        <f>7152/68187</f>
        <v>0.10488802850983325</v>
      </c>
      <c r="D4" s="13">
        <f>7492/69916</f>
        <v>0.10715716002059614</v>
      </c>
      <c r="K4" s="18"/>
    </row>
    <row r="5" spans="1:11" ht="31.5" x14ac:dyDescent="0.25">
      <c r="A5" s="3" t="s">
        <v>28</v>
      </c>
      <c r="B5" s="13">
        <f>2649/65762</f>
        <v>4.0281621605182324E-2</v>
      </c>
      <c r="C5" s="13">
        <f>2821/68187</f>
        <v>4.1371522430961913E-2</v>
      </c>
      <c r="D5" s="13">
        <f>2711/69916</f>
        <v>3.8775101550431949E-2</v>
      </c>
    </row>
    <row r="6" spans="1:11" ht="15.75" x14ac:dyDescent="0.25">
      <c r="A6" s="3" t="s">
        <v>29</v>
      </c>
      <c r="B6" s="13">
        <f>1000/65762</f>
        <v>1.5206350171831758E-2</v>
      </c>
      <c r="C6" s="13">
        <f>1764/68187</f>
        <v>2.5870033877425317E-2</v>
      </c>
      <c r="D6" s="13">
        <f>1604/69916</f>
        <v>2.2941815893357743E-2</v>
      </c>
    </row>
    <row r="7" spans="1:11" ht="15.75" x14ac:dyDescent="0.25">
      <c r="A7" s="3" t="s">
        <v>30</v>
      </c>
      <c r="B7" s="13">
        <f>2649/18000</f>
        <v>0.14716666666666667</v>
      </c>
      <c r="C7" s="13">
        <f>2821/18183</f>
        <v>0.15514491558048726</v>
      </c>
      <c r="D7" s="13">
        <f>2711/17889</f>
        <v>0.15154564257364861</v>
      </c>
    </row>
    <row r="9" spans="1:11" ht="22.5" x14ac:dyDescent="0.25">
      <c r="A9" s="1" t="s">
        <v>50</v>
      </c>
      <c r="B9" s="1" t="s">
        <v>27</v>
      </c>
      <c r="C9" s="1" t="s">
        <v>28</v>
      </c>
      <c r="D9" s="1" t="s">
        <v>29</v>
      </c>
    </row>
    <row r="10" spans="1:11" ht="15.75" x14ac:dyDescent="0.25">
      <c r="A10" s="15" t="s">
        <v>1</v>
      </c>
      <c r="B10" s="13">
        <f>6844/65762</f>
        <v>0.10407226057601654</v>
      </c>
      <c r="C10" s="13">
        <f>2649/65762</f>
        <v>4.0281621605182324E-2</v>
      </c>
      <c r="D10" s="13">
        <f>1000/65762</f>
        <v>1.5206350171831758E-2</v>
      </c>
    </row>
    <row r="11" spans="1:11" ht="15.75" x14ac:dyDescent="0.25">
      <c r="A11" s="15" t="s">
        <v>2</v>
      </c>
      <c r="B11" s="13">
        <f>7152/68187</f>
        <v>0.10488802850983325</v>
      </c>
      <c r="C11" s="13">
        <f>2821/68187</f>
        <v>4.1371522430961913E-2</v>
      </c>
      <c r="D11" s="13">
        <f>1764/68187</f>
        <v>2.5870033877425317E-2</v>
      </c>
    </row>
    <row r="12" spans="1:11" ht="15.75" x14ac:dyDescent="0.25">
      <c r="A12" s="15" t="s">
        <v>3</v>
      </c>
      <c r="B12" s="13">
        <f>7492/69916</f>
        <v>0.10715716002059614</v>
      </c>
      <c r="C12" s="13">
        <f>2711/69916</f>
        <v>3.8775101550431949E-2</v>
      </c>
      <c r="D12" s="13">
        <f>1604/69916</f>
        <v>2.2941815893357743E-2</v>
      </c>
    </row>
    <row r="15" spans="1:11" ht="22.5" x14ac:dyDescent="0.25">
      <c r="A15" s="1" t="s">
        <v>50</v>
      </c>
      <c r="B15" s="1" t="s">
        <v>30</v>
      </c>
    </row>
    <row r="16" spans="1:11" ht="15.75" x14ac:dyDescent="0.25">
      <c r="A16" s="15" t="s">
        <v>1</v>
      </c>
      <c r="B16" s="13">
        <f>2649/18000</f>
        <v>0.14716666666666667</v>
      </c>
    </row>
    <row r="17" spans="1:2" ht="15.75" x14ac:dyDescent="0.25">
      <c r="A17" s="15" t="s">
        <v>2</v>
      </c>
      <c r="B17" s="13">
        <f>2821/18183</f>
        <v>0.15514491558048726</v>
      </c>
    </row>
    <row r="18" spans="1:2" ht="15.75" x14ac:dyDescent="0.25">
      <c r="A18" s="15" t="s">
        <v>3</v>
      </c>
      <c r="B18" s="13">
        <f>2711/17889</f>
        <v>0.15154564257364861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zoomScale="90" workbookViewId="0">
      <selection activeCell="K31" sqref="K31"/>
    </sheetView>
  </sheetViews>
  <sheetFormatPr defaultRowHeight="15" x14ac:dyDescent="0.25"/>
  <cols>
    <col min="1" max="1" width="15.85546875" customWidth="1"/>
    <col min="2" max="2" width="32.28515625" customWidth="1"/>
    <col min="3" max="3" width="23.5703125" customWidth="1"/>
    <col min="4" max="4" width="13" customWidth="1"/>
    <col min="5" max="5" width="13.140625" customWidth="1"/>
  </cols>
  <sheetData>
    <row r="1" spans="1:5" ht="25.5" x14ac:dyDescent="0.35">
      <c r="A1" s="19" t="s">
        <v>31</v>
      </c>
      <c r="B1" s="19"/>
      <c r="C1" s="19"/>
      <c r="D1" s="19"/>
      <c r="E1" s="19"/>
    </row>
    <row r="3" spans="1:5" ht="22.5" x14ac:dyDescent="0.25">
      <c r="A3" s="1" t="s">
        <v>26</v>
      </c>
      <c r="B3" s="1" t="s">
        <v>1</v>
      </c>
      <c r="C3" s="1" t="s">
        <v>2</v>
      </c>
      <c r="D3" s="1" t="s">
        <v>3</v>
      </c>
    </row>
    <row r="4" spans="1:5" ht="15.75" x14ac:dyDescent="0.25">
      <c r="A4" s="3" t="s">
        <v>32</v>
      </c>
      <c r="B4" s="12">
        <f>8823/14500</f>
        <v>0.60848275862068968</v>
      </c>
      <c r="C4" s="12">
        <f>8823/13350</f>
        <v>0.66089887640449441</v>
      </c>
      <c r="D4" s="12">
        <f>8806/13820</f>
        <v>0.637192474674385</v>
      </c>
    </row>
    <row r="5" spans="1:5" ht="15.75" x14ac:dyDescent="0.25">
      <c r="A5" s="3" t="s">
        <v>33</v>
      </c>
      <c r="B5" s="12">
        <f>6188/14500</f>
        <v>0.4267586206896552</v>
      </c>
      <c r="C5" s="12">
        <f>6188/13350</f>
        <v>0.4635205992509363</v>
      </c>
      <c r="D5" s="12">
        <f>6038/13820</f>
        <v>0.43690303907380607</v>
      </c>
    </row>
    <row r="9" spans="1:5" ht="22.5" x14ac:dyDescent="0.25">
      <c r="A9" s="1" t="s">
        <v>50</v>
      </c>
      <c r="B9" s="1" t="s">
        <v>32</v>
      </c>
      <c r="C9" s="1" t="s">
        <v>33</v>
      </c>
    </row>
    <row r="10" spans="1:5" ht="15.75" x14ac:dyDescent="0.25">
      <c r="A10" s="15" t="s">
        <v>1</v>
      </c>
      <c r="B10" s="12">
        <f>8823/14500</f>
        <v>0.60848275862068968</v>
      </c>
      <c r="C10" s="12">
        <f>6188/14500</f>
        <v>0.4267586206896552</v>
      </c>
    </row>
    <row r="11" spans="1:5" ht="15.75" x14ac:dyDescent="0.25">
      <c r="A11" s="15" t="s">
        <v>2</v>
      </c>
      <c r="B11" s="12">
        <f>8823/13350</f>
        <v>0.66089887640449441</v>
      </c>
      <c r="C11" s="12">
        <f>6188/13350</f>
        <v>0.4635205992509363</v>
      </c>
    </row>
    <row r="12" spans="1:5" ht="15.75" x14ac:dyDescent="0.25">
      <c r="A12" s="15" t="s">
        <v>3</v>
      </c>
      <c r="B12" s="12">
        <f>8806/13820</f>
        <v>0.637192474674385</v>
      </c>
      <c r="C12" s="12">
        <f>6038/13820</f>
        <v>0.43690303907380607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="80" workbookViewId="0">
      <selection activeCell="E50" sqref="E50"/>
    </sheetView>
  </sheetViews>
  <sheetFormatPr defaultRowHeight="15" x14ac:dyDescent="0.25"/>
  <cols>
    <col min="1" max="1" width="21.140625" customWidth="1"/>
    <col min="2" max="2" width="26.28515625" customWidth="1"/>
    <col min="3" max="3" width="25" customWidth="1"/>
    <col min="4" max="4" width="27.85546875" customWidth="1"/>
    <col min="5" max="5" width="14.140625" customWidth="1"/>
  </cols>
  <sheetData>
    <row r="1" spans="1:5" ht="25.5" x14ac:dyDescent="0.35">
      <c r="A1" s="19" t="s">
        <v>34</v>
      </c>
      <c r="B1" s="19"/>
      <c r="C1" s="19"/>
      <c r="D1" s="19"/>
      <c r="E1" s="19"/>
    </row>
    <row r="3" spans="1:5" ht="22.5" x14ac:dyDescent="0.25">
      <c r="A3" s="1" t="s">
        <v>26</v>
      </c>
      <c r="B3" s="1" t="s">
        <v>1</v>
      </c>
      <c r="C3" s="1" t="s">
        <v>2</v>
      </c>
      <c r="D3" s="1" t="s">
        <v>3</v>
      </c>
    </row>
    <row r="4" spans="1:5" ht="15.75" x14ac:dyDescent="0.25">
      <c r="A4" s="3" t="s">
        <v>35</v>
      </c>
      <c r="B4" s="12">
        <f>2635/58918*365</f>
        <v>16.323958722291998</v>
      </c>
      <c r="C4" s="12">
        <f>2635/61035*365</f>
        <v>15.757761939870568</v>
      </c>
      <c r="D4" s="12">
        <f>2768/62424*365</f>
        <v>16.18480071767269</v>
      </c>
    </row>
    <row r="5" spans="1:5" ht="15.75" x14ac:dyDescent="0.25">
      <c r="A5" s="3" t="s">
        <v>36</v>
      </c>
      <c r="B5" s="12">
        <f>1349/65762*365</f>
        <v>7.4873787293573795</v>
      </c>
      <c r="C5" s="12">
        <f>1349/68187*365</f>
        <v>7.2210978632290619</v>
      </c>
      <c r="D5" s="12">
        <f>1210/69916*365</f>
        <v>6.316865953429831</v>
      </c>
    </row>
    <row r="6" spans="1:5" ht="15.75" x14ac:dyDescent="0.25">
      <c r="A6" s="3" t="s">
        <v>37</v>
      </c>
      <c r="B6" s="12">
        <f>10264/58918*365</f>
        <v>63.586000882582567</v>
      </c>
      <c r="C6" s="12">
        <f>10264/61035*365</f>
        <v>61.380519374129591</v>
      </c>
      <c r="D6" s="12">
        <f>10364/62424*365</f>
        <v>60.599448929898756</v>
      </c>
    </row>
    <row r="10" spans="1:5" ht="45" x14ac:dyDescent="0.25">
      <c r="A10" s="1" t="s">
        <v>50</v>
      </c>
      <c r="B10" s="1" t="s">
        <v>35</v>
      </c>
      <c r="C10" s="1" t="s">
        <v>36</v>
      </c>
      <c r="D10" s="1" t="s">
        <v>37</v>
      </c>
    </row>
    <row r="11" spans="1:5" ht="15.75" x14ac:dyDescent="0.25">
      <c r="A11" s="15" t="s">
        <v>1</v>
      </c>
      <c r="B11" s="12">
        <f>2635/58918*365</f>
        <v>16.323958722291998</v>
      </c>
      <c r="C11" s="12">
        <f>1349/65762*365</f>
        <v>7.4873787293573795</v>
      </c>
      <c r="D11" s="12">
        <f>10264/58918*365</f>
        <v>63.586000882582567</v>
      </c>
    </row>
    <row r="12" spans="1:5" ht="15.75" x14ac:dyDescent="0.25">
      <c r="A12" s="15" t="s">
        <v>2</v>
      </c>
      <c r="B12" s="12">
        <f>2635/61035*365</f>
        <v>15.757761939870568</v>
      </c>
      <c r="C12" s="12">
        <f>1349/68187*365</f>
        <v>7.2210978632290619</v>
      </c>
      <c r="D12" s="12">
        <f>10264/61035*365</f>
        <v>61.380519374129591</v>
      </c>
    </row>
    <row r="13" spans="1:5" ht="15.75" x14ac:dyDescent="0.25">
      <c r="A13" s="15" t="s">
        <v>3</v>
      </c>
      <c r="B13" s="12">
        <f>2768/62424*365</f>
        <v>16.18480071767269</v>
      </c>
      <c r="C13" s="12">
        <f>1210/69916*365</f>
        <v>6.316865953429831</v>
      </c>
      <c r="D13" s="12">
        <f>10364/62424*365</f>
        <v>60.599448929898756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tabSelected="1" zoomScale="60" workbookViewId="0">
      <selection activeCell="H38" sqref="H38"/>
    </sheetView>
  </sheetViews>
  <sheetFormatPr defaultRowHeight="15" x14ac:dyDescent="0.25"/>
  <cols>
    <col min="1" max="1" width="23.28515625" customWidth="1"/>
    <col min="2" max="2" width="24.42578125" customWidth="1"/>
    <col min="3" max="3" width="23.5703125" customWidth="1"/>
    <col min="4" max="4" width="13.85546875" customWidth="1"/>
    <col min="5" max="5" width="15.140625" customWidth="1"/>
  </cols>
  <sheetData>
    <row r="1" spans="1:5" ht="25.5" x14ac:dyDescent="0.35">
      <c r="A1" s="19" t="s">
        <v>38</v>
      </c>
      <c r="B1" s="19"/>
      <c r="C1" s="19"/>
      <c r="D1" s="19"/>
      <c r="E1" s="19"/>
    </row>
    <row r="2" spans="1:5" ht="25.5" x14ac:dyDescent="0.35">
      <c r="A2" s="19" t="s">
        <v>52</v>
      </c>
      <c r="B2" s="19"/>
      <c r="C2" s="19"/>
      <c r="D2" s="19"/>
      <c r="E2" s="19"/>
    </row>
    <row r="3" spans="1:5" ht="22.5" x14ac:dyDescent="0.25">
      <c r="A3" s="1" t="s">
        <v>26</v>
      </c>
      <c r="B3" s="1" t="s">
        <v>1</v>
      </c>
      <c r="C3" s="1" t="s">
        <v>2</v>
      </c>
      <c r="D3" s="1" t="s">
        <v>3</v>
      </c>
    </row>
    <row r="4" spans="1:5" ht="15.75" x14ac:dyDescent="0.25">
      <c r="A4" s="3" t="s">
        <v>39</v>
      </c>
      <c r="B4" s="6" t="s">
        <v>47</v>
      </c>
      <c r="C4" s="6" t="s">
        <v>48</v>
      </c>
      <c r="D4" s="14" t="s">
        <v>49</v>
      </c>
    </row>
    <row r="5" spans="1:5" ht="15.75" x14ac:dyDescent="0.25">
      <c r="A5" s="3" t="s">
        <v>40</v>
      </c>
      <c r="B5" s="12">
        <f>2.65/0.1365</f>
        <v>19.413919413919412</v>
      </c>
      <c r="C5" s="12">
        <f>2.92/0.2453</f>
        <v>11.903791275988585</v>
      </c>
      <c r="D5" s="12">
        <f>3.6/0.2313</f>
        <v>15.56420233463035</v>
      </c>
    </row>
    <row r="6" spans="1:5" ht="15.75" x14ac:dyDescent="0.25">
      <c r="A6" s="3" t="s">
        <v>41</v>
      </c>
      <c r="B6" s="13">
        <f>0.109/2.65</f>
        <v>4.1132075471698115E-2</v>
      </c>
      <c r="C6" s="13">
        <f>0.121/2.92</f>
        <v>4.1438356164383565E-2</v>
      </c>
      <c r="D6" s="13">
        <f>0.137/3.6</f>
        <v>3.8055555555555558E-2</v>
      </c>
    </row>
    <row r="7" spans="1:5" ht="15.75" x14ac:dyDescent="0.25">
      <c r="A7" s="3" t="s">
        <v>42</v>
      </c>
      <c r="B7" s="12">
        <f>13.65/10.9</f>
        <v>1.2522935779816513</v>
      </c>
      <c r="C7" s="12">
        <f>24.53/12.1</f>
        <v>2.0272727272727273</v>
      </c>
      <c r="D7" s="12">
        <f>23.13/13.7</f>
        <v>1.6883211678832117</v>
      </c>
    </row>
    <row r="10" spans="1:5" ht="45" x14ac:dyDescent="0.25">
      <c r="A10" s="1" t="s">
        <v>50</v>
      </c>
      <c r="B10" s="1" t="s">
        <v>39</v>
      </c>
      <c r="C10" s="1" t="s">
        <v>36</v>
      </c>
    </row>
    <row r="11" spans="1:5" ht="15.75" x14ac:dyDescent="0.25">
      <c r="A11" s="15" t="s">
        <v>1</v>
      </c>
      <c r="B11" s="12">
        <v>13.65</v>
      </c>
      <c r="C11" s="12">
        <v>10.9</v>
      </c>
    </row>
    <row r="12" spans="1:5" ht="15.75" x14ac:dyDescent="0.25">
      <c r="A12" s="15" t="s">
        <v>2</v>
      </c>
      <c r="B12" s="12">
        <v>24.53</v>
      </c>
      <c r="C12" s="12">
        <v>12.1</v>
      </c>
    </row>
    <row r="13" spans="1:5" ht="15.75" x14ac:dyDescent="0.25">
      <c r="A13" s="15" t="s">
        <v>3</v>
      </c>
      <c r="B13" s="12">
        <v>23.13</v>
      </c>
      <c r="C13" s="12">
        <v>13.7</v>
      </c>
    </row>
    <row r="18" spans="1:2" ht="22.5" x14ac:dyDescent="0.25">
      <c r="A18" s="1" t="s">
        <v>50</v>
      </c>
      <c r="B18" s="1" t="s">
        <v>40</v>
      </c>
    </row>
    <row r="19" spans="1:2" ht="23.25" x14ac:dyDescent="0.25">
      <c r="A19" s="16" t="s">
        <v>1</v>
      </c>
      <c r="B19" s="17">
        <f>2.65/0.1365</f>
        <v>19.413919413919412</v>
      </c>
    </row>
    <row r="20" spans="1:2" ht="23.25" x14ac:dyDescent="0.25">
      <c r="A20" s="16" t="s">
        <v>2</v>
      </c>
      <c r="B20" s="17">
        <f>2.92/0.2453</f>
        <v>11.903791275988585</v>
      </c>
    </row>
    <row r="21" spans="1:2" ht="23.25" x14ac:dyDescent="0.25">
      <c r="A21" s="16" t="s">
        <v>3</v>
      </c>
      <c r="B21" s="17">
        <f>3.6/0.2313</f>
        <v>15.56420233463035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Financial Data</vt:lpstr>
      <vt:lpstr>Profitability Ratios</vt:lpstr>
      <vt:lpstr>Liquidity Ratios</vt:lpstr>
      <vt:lpstr>Efficiency Ratios</vt:lpstr>
      <vt:lpstr>Market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2026-09-09T06:22:21Z</dcterms:created>
  <dcterms:modified xsi:type="dcterms:W3CDTF">2026-09-12T12:57:58Z</dcterms:modified>
</cp:coreProperties>
</file>